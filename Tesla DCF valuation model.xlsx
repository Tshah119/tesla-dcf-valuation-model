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ademics\FDAP\Documents\Valutaion models\"/>
    </mc:Choice>
  </mc:AlternateContent>
  <xr:revisionPtr revIDLastSave="0" documentId="13_ncr:1_{2AE7A097-14B6-4A0B-B2D1-0D9BC3555946}" xr6:coauthVersionLast="47" xr6:coauthVersionMax="47" xr10:uidLastSave="{00000000-0000-0000-0000-000000000000}"/>
  <bookViews>
    <workbookView xWindow="-108" yWindow="-108" windowWidth="23256" windowHeight="14856" xr2:uid="{D02B7CCE-63B2-4B32-BB25-0AA774A2E69A}"/>
  </bookViews>
  <sheets>
    <sheet name="DCF" sheetId="1" r:id="rId1"/>
    <sheet name="Cost of Capital " sheetId="2" r:id="rId2"/>
  </sheets>
  <calcPr calcId="191029" calcMode="manual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8" i="1"/>
  <c r="H11" i="1"/>
  <c r="H37" i="1"/>
  <c r="H38" i="1"/>
  <c r="G9" i="1"/>
  <c r="I8" i="1"/>
  <c r="J8" i="1"/>
  <c r="K8" i="1"/>
  <c r="K11" i="1"/>
  <c r="K37" i="1"/>
  <c r="K38" i="1"/>
  <c r="K39" i="1"/>
  <c r="K15" i="1"/>
  <c r="K40" i="1"/>
  <c r="K16" i="1"/>
  <c r="K41" i="1"/>
  <c r="G15" i="1"/>
  <c r="G10" i="1"/>
  <c r="H15" i="1"/>
  <c r="H10" i="1"/>
  <c r="I15" i="1"/>
  <c r="I10" i="1"/>
  <c r="J15" i="1"/>
  <c r="J10" i="1"/>
  <c r="K10" i="1"/>
  <c r="K12" i="1"/>
  <c r="K42" i="1"/>
  <c r="K43" i="1"/>
  <c r="K46" i="1"/>
  <c r="G48" i="1"/>
  <c r="O7" i="1"/>
  <c r="O9" i="1"/>
  <c r="R7" i="1"/>
  <c r="G47" i="1"/>
  <c r="H47" i="1"/>
  <c r="I47" i="1"/>
  <c r="J47" i="1"/>
  <c r="K47" i="1"/>
  <c r="O8" i="1"/>
  <c r="O10" i="1"/>
  <c r="G11" i="1"/>
  <c r="G37" i="1"/>
  <c r="G38" i="1"/>
  <c r="G39" i="1"/>
  <c r="G40" i="1"/>
  <c r="G16" i="1"/>
  <c r="G41" i="1"/>
  <c r="G12" i="1"/>
  <c r="G42" i="1"/>
  <c r="G43" i="1"/>
  <c r="G46" i="1"/>
  <c r="G49" i="1"/>
  <c r="H39" i="1"/>
  <c r="H40" i="1"/>
  <c r="H16" i="1"/>
  <c r="H41" i="1"/>
  <c r="H12" i="1"/>
  <c r="H42" i="1"/>
  <c r="H43" i="1"/>
  <c r="H46" i="1"/>
  <c r="H48" i="1"/>
  <c r="H49" i="1"/>
  <c r="I11" i="1"/>
  <c r="I37" i="1"/>
  <c r="I38" i="1"/>
  <c r="I39" i="1"/>
  <c r="I40" i="1"/>
  <c r="I16" i="1"/>
  <c r="I41" i="1"/>
  <c r="I12" i="1"/>
  <c r="I42" i="1"/>
  <c r="I43" i="1"/>
  <c r="I46" i="1"/>
  <c r="I48" i="1"/>
  <c r="I49" i="1"/>
  <c r="J11" i="1"/>
  <c r="J37" i="1"/>
  <c r="J38" i="1"/>
  <c r="J39" i="1"/>
  <c r="J40" i="1"/>
  <c r="J16" i="1"/>
  <c r="J41" i="1"/>
  <c r="J12" i="1"/>
  <c r="J42" i="1"/>
  <c r="J43" i="1"/>
  <c r="J46" i="1"/>
  <c r="J48" i="1"/>
  <c r="J49" i="1"/>
  <c r="K48" i="1"/>
  <c r="K49" i="1"/>
  <c r="O14" i="1"/>
  <c r="O24" i="1"/>
  <c r="O25" i="1"/>
  <c r="O30" i="1"/>
  <c r="V24" i="1"/>
  <c r="V27" i="1"/>
  <c r="V32" i="1"/>
  <c r="V35" i="1"/>
  <c r="R16" i="1"/>
  <c r="O31" i="1"/>
  <c r="I54" i="1"/>
  <c r="J54" i="1"/>
  <c r="F38" i="1"/>
  <c r="F39" i="1"/>
  <c r="F40" i="1"/>
  <c r="F41" i="1"/>
  <c r="F42" i="1"/>
  <c r="F43" i="1"/>
  <c r="F46" i="1"/>
  <c r="E38" i="1"/>
  <c r="E39" i="1"/>
  <c r="E40" i="1"/>
  <c r="E16" i="1"/>
  <c r="E41" i="1"/>
  <c r="E42" i="1"/>
  <c r="E43" i="1"/>
  <c r="E46" i="1"/>
  <c r="D38" i="1"/>
  <c r="D39" i="1"/>
  <c r="D40" i="1"/>
  <c r="D41" i="1"/>
  <c r="D42" i="1"/>
  <c r="D43" i="1"/>
  <c r="D46" i="1"/>
  <c r="C39" i="1"/>
  <c r="C40" i="1"/>
  <c r="C41" i="1"/>
  <c r="C42" i="1"/>
  <c r="C43" i="1"/>
  <c r="C46" i="1"/>
  <c r="K13" i="1"/>
  <c r="J13" i="1"/>
  <c r="I13" i="1"/>
  <c r="H13" i="1"/>
  <c r="G13" i="1"/>
  <c r="E54" i="1"/>
  <c r="B24" i="2"/>
  <c r="B26" i="2"/>
  <c r="B14" i="2"/>
  <c r="B16" i="2"/>
  <c r="B20" i="2"/>
  <c r="B25" i="2"/>
  <c r="E56" i="1"/>
  <c r="E55" i="1"/>
  <c r="E58" i="1"/>
  <c r="E59" i="1"/>
  <c r="B19" i="2"/>
  <c r="G14" i="1"/>
  <c r="H14" i="1"/>
  <c r="I14" i="1"/>
  <c r="J14" i="1"/>
  <c r="K14" i="1"/>
  <c r="O18" i="1"/>
  <c r="O19" i="1"/>
  <c r="G54" i="1"/>
  <c r="F54" i="1"/>
  <c r="G36" i="1"/>
  <c r="K9" i="1"/>
  <c r="J9" i="1"/>
  <c r="I9" i="1"/>
  <c r="H9" i="1"/>
  <c r="K36" i="1"/>
  <c r="J36" i="1"/>
  <c r="I36" i="1"/>
  <c r="H36" i="1"/>
  <c r="F36" i="1"/>
  <c r="E36" i="1"/>
  <c r="D36" i="1"/>
  <c r="C36" i="1"/>
  <c r="C28" i="1"/>
  <c r="C18" i="1"/>
  <c r="C14" i="1"/>
</calcChain>
</file>

<file path=xl/sharedStrings.xml><?xml version="1.0" encoding="utf-8"?>
<sst xmlns="http://schemas.openxmlformats.org/spreadsheetml/2006/main" count="118" uniqueCount="103">
  <si>
    <t xml:space="preserve">Tesla Inc. </t>
  </si>
  <si>
    <t>In Millions $USD, except per share items</t>
  </si>
  <si>
    <t>Key Financials</t>
  </si>
  <si>
    <t>Actual Historical</t>
  </si>
  <si>
    <t>For the fiscal year ending</t>
  </si>
  <si>
    <t>Income Statement:</t>
  </si>
  <si>
    <t>Revenue</t>
  </si>
  <si>
    <t>Gross Profit</t>
  </si>
  <si>
    <t>EBITDA</t>
  </si>
  <si>
    <t>Diluted EPS</t>
  </si>
  <si>
    <t>Net Income</t>
  </si>
  <si>
    <t>Growth Over Prior year</t>
  </si>
  <si>
    <t>NM</t>
  </si>
  <si>
    <t>Y/Y Revenue Growth</t>
  </si>
  <si>
    <t>Gross Profit Margin</t>
  </si>
  <si>
    <t>EBITDA Margin</t>
  </si>
  <si>
    <t>EBIT Margin</t>
  </si>
  <si>
    <t>Effective Tax Rate</t>
  </si>
  <si>
    <t>Net Income Margin</t>
  </si>
  <si>
    <t>Gross PP&amp;E</t>
  </si>
  <si>
    <t>EBIT</t>
  </si>
  <si>
    <t>Depreciation &amp; Amortization</t>
  </si>
  <si>
    <t>Capital Spendings</t>
  </si>
  <si>
    <t>Increase/(decrease) in NOC</t>
  </si>
  <si>
    <t>N/A</t>
  </si>
  <si>
    <t>Capital Spending % of Revenue</t>
  </si>
  <si>
    <t>Depreciation &amp; Amortization % of Gross</t>
  </si>
  <si>
    <t>NOC Investment % of New Revenue</t>
  </si>
  <si>
    <t>Stub Period</t>
  </si>
  <si>
    <t>Discounted Cash Flow (DCF) Analysis</t>
  </si>
  <si>
    <t xml:space="preserve">   Less:Taxes</t>
  </si>
  <si>
    <t>Net Operating Profit After Tax</t>
  </si>
  <si>
    <t xml:space="preserve">  Less: Capital Expenditures</t>
  </si>
  <si>
    <t xml:space="preserve">  Less: Working Capital Requirements</t>
  </si>
  <si>
    <t xml:space="preserve">  Add: Depreciation &amp; Amortization</t>
  </si>
  <si>
    <t>Total Net Investment</t>
  </si>
  <si>
    <t>Beta</t>
  </si>
  <si>
    <t>Risk free rate</t>
  </si>
  <si>
    <t>Debt</t>
  </si>
  <si>
    <t>Total Equity</t>
  </si>
  <si>
    <t>Cost of Debt</t>
  </si>
  <si>
    <t xml:space="preserve">Financial Year Ending </t>
  </si>
  <si>
    <t>Fiscal year ending</t>
  </si>
  <si>
    <t>Cost of Capital Worksheet</t>
  </si>
  <si>
    <t>Market price of shares</t>
  </si>
  <si>
    <t>Shares Outstanding</t>
  </si>
  <si>
    <t>Total Capital</t>
  </si>
  <si>
    <t>Debt/Capital</t>
  </si>
  <si>
    <t>Equity/Capital</t>
  </si>
  <si>
    <t>Cost of Equity</t>
  </si>
  <si>
    <t>Market risk premium</t>
  </si>
  <si>
    <t>WACC</t>
  </si>
  <si>
    <t>Unlevered Free Cash Flows</t>
  </si>
  <si>
    <t>Discount period(n)</t>
  </si>
  <si>
    <t>Discount Rate</t>
  </si>
  <si>
    <t>PV of Unlevered Free Cash Flows</t>
  </si>
  <si>
    <t>Terminal Value Analysis</t>
  </si>
  <si>
    <t>Terminal Value</t>
  </si>
  <si>
    <t>PV of Terminal Value</t>
  </si>
  <si>
    <t xml:space="preserve">   Discount Period</t>
  </si>
  <si>
    <t xml:space="preserve">   Discount Rate</t>
  </si>
  <si>
    <t>Growth Rate</t>
  </si>
  <si>
    <t>Projected Period Value Analysis</t>
  </si>
  <si>
    <t>PV of Proj. Period FCFF</t>
  </si>
  <si>
    <t>Distribution of Value</t>
  </si>
  <si>
    <t>Period Cash Flow</t>
  </si>
  <si>
    <t>Terminal Cash Flow</t>
  </si>
  <si>
    <t>Total</t>
  </si>
  <si>
    <t>Implied TEV &amp; Equity Value</t>
  </si>
  <si>
    <t>Implied TEV</t>
  </si>
  <si>
    <t>Less: Debt</t>
  </si>
  <si>
    <t>Less: Preferred</t>
  </si>
  <si>
    <t>Less: Minority Interest</t>
  </si>
  <si>
    <t>Plus: Cash</t>
  </si>
  <si>
    <t>Implied Equity Value</t>
  </si>
  <si>
    <t>Implied Share Price</t>
  </si>
  <si>
    <t>Transaction/Valuation Date</t>
  </si>
  <si>
    <t>Basic Shares</t>
  </si>
  <si>
    <t>Diluted Shares</t>
  </si>
  <si>
    <t>Actual Share Price</t>
  </si>
  <si>
    <t>Dilutive Shares</t>
  </si>
  <si>
    <t>Options Class</t>
  </si>
  <si>
    <t>Wgt Avg. Ex. Price</t>
  </si>
  <si>
    <t>A</t>
  </si>
  <si>
    <t>B</t>
  </si>
  <si>
    <t>C</t>
  </si>
  <si>
    <t>#Options</t>
  </si>
  <si>
    <t>Convert. Class</t>
  </si>
  <si>
    <t>Face Amount</t>
  </si>
  <si>
    <t>Conversion Price</t>
  </si>
  <si>
    <t>Dilutive</t>
  </si>
  <si>
    <t>Shares</t>
  </si>
  <si>
    <t>Share price Sensitivity</t>
  </si>
  <si>
    <t>Gordan Growth Rate</t>
  </si>
  <si>
    <t>Gordan Growth Increment</t>
  </si>
  <si>
    <t>Discount Rate Increment</t>
  </si>
  <si>
    <t>Key Assumptions</t>
  </si>
  <si>
    <t>Capital:</t>
  </si>
  <si>
    <t>Ratios:</t>
  </si>
  <si>
    <t>Cost of Capital:</t>
  </si>
  <si>
    <t xml:space="preserve">Preferred </t>
  </si>
  <si>
    <t>Weighted</t>
  </si>
  <si>
    <t>After tax Cost of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</si>
</sst>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164" formatCode="0.0%"/>
    <numFmt numFmtId="165" formatCode="0.0"/>
    <numFmt numFmtId="166" formatCode="&quot;$&quot;#,##0.00"/>
    <numFmt numFmtId="167" formatCode="0.000"/>
    <numFmt numFmtId="168" formatCode="&quot;$&quot;#,##0.0"/>
    <numFmt numFmtId="169" formatCode="&quot;$&quot;#,##0.0_);[Red]\(&quot;$&quot;#,##0.0\)"/>
    <numFmt numFmtId="170" formatCode="&quot;$&quot;#,##0.0_);\(&quot;$&quot;#,##0.0\)"/>
    <numFmt numFmtId="171" formatCode="0.00_);\(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sz val="14"/>
      <color rgb="FF354CD3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9">
    <xf numFmtId="0" fontId="0" fillId="0" borderId="0" xfId="0"/>
    <xf numFmtId="0" fontId="4" fillId="0" borderId="0" xfId="0" applyFont="1"/>
    <xf numFmtId="0" fontId="7" fillId="3" borderId="4" xfId="0" applyFont="1" applyFill="1" applyBorder="1"/>
    <xf numFmtId="0" fontId="0" fillId="3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0" xfId="0" applyFill="1"/>
    <xf numFmtId="0" fontId="0" fillId="6" borderId="7" xfId="0" applyFill="1" applyBorder="1"/>
    <xf numFmtId="0" fontId="5" fillId="6" borderId="0" xfId="0" applyFont="1" applyFill="1"/>
    <xf numFmtId="0" fontId="7" fillId="3" borderId="12" xfId="0" applyFont="1" applyFill="1" applyBorder="1"/>
    <xf numFmtId="0" fontId="9" fillId="2" borderId="3" xfId="0" applyFont="1" applyFill="1" applyBorder="1"/>
    <xf numFmtId="0" fontId="9" fillId="2" borderId="12" xfId="0" applyFont="1" applyFill="1" applyBorder="1"/>
    <xf numFmtId="0" fontId="9" fillId="2" borderId="4" xfId="0" applyFont="1" applyFill="1" applyBorder="1"/>
    <xf numFmtId="0" fontId="3" fillId="6" borderId="0" xfId="0" applyFont="1" applyFill="1"/>
    <xf numFmtId="0" fontId="2" fillId="6" borderId="0" xfId="0" applyFont="1" applyFill="1"/>
    <xf numFmtId="0" fontId="4" fillId="6" borderId="0" xfId="0" applyFont="1" applyFill="1"/>
    <xf numFmtId="0" fontId="8" fillId="6" borderId="0" xfId="0" applyFont="1" applyFill="1"/>
    <xf numFmtId="0" fontId="8" fillId="6" borderId="0" xfId="0" applyFont="1" applyFill="1" applyAlignment="1">
      <alignment vertical="center" textRotation="90"/>
    </xf>
    <xf numFmtId="10" fontId="12" fillId="6" borderId="13" xfId="1" applyNumberFormat="1" applyFont="1" applyFill="1" applyBorder="1"/>
    <xf numFmtId="0" fontId="9" fillId="3" borderId="3" xfId="0" applyFont="1" applyFill="1" applyBorder="1"/>
    <xf numFmtId="0" fontId="9" fillId="3" borderId="12" xfId="0" applyFont="1" applyFill="1" applyBorder="1"/>
    <xf numFmtId="0" fontId="9" fillId="3" borderId="4" xfId="0" applyFont="1" applyFill="1" applyBorder="1"/>
    <xf numFmtId="10" fontId="11" fillId="5" borderId="5" xfId="0" applyNumberFormat="1" applyFont="1" applyFill="1" applyBorder="1" applyAlignment="1">
      <alignment horizontal="center"/>
    </xf>
    <xf numFmtId="166" fontId="5" fillId="8" borderId="3" xfId="0" applyNumberFormat="1" applyFont="1" applyFill="1" applyBorder="1" applyAlignment="1">
      <alignment horizontal="center"/>
    </xf>
    <xf numFmtId="0" fontId="7" fillId="6" borderId="6" xfId="0" applyFont="1" applyFill="1" applyBorder="1"/>
    <xf numFmtId="0" fontId="7" fillId="6" borderId="0" xfId="0" applyFont="1" applyFill="1"/>
    <xf numFmtId="0" fontId="7" fillId="6" borderId="5" xfId="0" applyFont="1" applyFill="1" applyBorder="1"/>
    <xf numFmtId="10" fontId="13" fillId="5" borderId="5" xfId="0" applyNumberFormat="1" applyFont="1" applyFill="1" applyBorder="1" applyAlignment="1">
      <alignment horizontal="center"/>
    </xf>
    <xf numFmtId="2" fontId="5" fillId="6" borderId="3" xfId="0" applyNumberFormat="1" applyFont="1" applyFill="1" applyBorder="1"/>
    <xf numFmtId="2" fontId="5" fillId="6" borderId="12" xfId="0" applyNumberFormat="1" applyFont="1" applyFill="1" applyBorder="1"/>
    <xf numFmtId="2" fontId="5" fillId="6" borderId="23" xfId="0" applyNumberFormat="1" applyFont="1" applyFill="1" applyBorder="1"/>
    <xf numFmtId="2" fontId="5" fillId="6" borderId="4" xfId="0" applyNumberFormat="1" applyFont="1" applyFill="1" applyBorder="1"/>
    <xf numFmtId="2" fontId="5" fillId="6" borderId="5" xfId="0" applyNumberFormat="1" applyFont="1" applyFill="1" applyBorder="1"/>
    <xf numFmtId="2" fontId="5" fillId="6" borderId="0" xfId="0" applyNumberFormat="1" applyFont="1" applyFill="1"/>
    <xf numFmtId="2" fontId="5" fillId="6" borderId="17" xfId="0" applyNumberFormat="1" applyFont="1" applyFill="1" applyBorder="1"/>
    <xf numFmtId="2" fontId="5" fillId="6" borderId="6" xfId="0" applyNumberFormat="1" applyFont="1" applyFill="1" applyBorder="1"/>
    <xf numFmtId="2" fontId="5" fillId="6" borderId="24" xfId="0" applyNumberFormat="1" applyFont="1" applyFill="1" applyBorder="1"/>
    <xf numFmtId="2" fontId="5" fillId="6" borderId="18" xfId="0" applyNumberFormat="1" applyFont="1" applyFill="1" applyBorder="1"/>
    <xf numFmtId="2" fontId="10" fillId="6" borderId="2" xfId="0" applyNumberFormat="1" applyFont="1" applyFill="1" applyBorder="1"/>
    <xf numFmtId="2" fontId="5" fillId="6" borderId="19" xfId="0" applyNumberFormat="1" applyFont="1" applyFill="1" applyBorder="1"/>
    <xf numFmtId="2" fontId="5" fillId="6" borderId="8" xfId="0" applyNumberFormat="1" applyFont="1" applyFill="1" applyBorder="1"/>
    <xf numFmtId="2" fontId="5" fillId="6" borderId="1" xfId="0" applyNumberFormat="1" applyFont="1" applyFill="1" applyBorder="1"/>
    <xf numFmtId="2" fontId="5" fillId="6" borderId="20" xfId="0" applyNumberFormat="1" applyFont="1" applyFill="1" applyBorder="1"/>
    <xf numFmtId="2" fontId="5" fillId="6" borderId="7" xfId="0" applyNumberFormat="1" applyFont="1" applyFill="1" applyBorder="1"/>
    <xf numFmtId="0" fontId="15" fillId="4" borderId="3" xfId="0" applyFont="1" applyFill="1" applyBorder="1"/>
    <xf numFmtId="0" fontId="15" fillId="4" borderId="12" xfId="0" applyFont="1" applyFill="1" applyBorder="1"/>
    <xf numFmtId="0" fontId="15" fillId="4" borderId="4" xfId="0" applyFont="1" applyFill="1" applyBorder="1"/>
    <xf numFmtId="0" fontId="15" fillId="4" borderId="5" xfId="0" applyFont="1" applyFill="1" applyBorder="1"/>
    <xf numFmtId="0" fontId="15" fillId="4" borderId="0" xfId="0" applyFont="1" applyFill="1" applyAlignment="1">
      <alignment horizontal="right"/>
    </xf>
    <xf numFmtId="0" fontId="15" fillId="4" borderId="6" xfId="0" applyFont="1" applyFill="1" applyBorder="1" applyAlignment="1">
      <alignment horizontal="right"/>
    </xf>
    <xf numFmtId="0" fontId="5" fillId="7" borderId="3" xfId="0" applyFont="1" applyFill="1" applyBorder="1"/>
    <xf numFmtId="0" fontId="5" fillId="7" borderId="8" xfId="0" applyFont="1" applyFill="1" applyBorder="1"/>
    <xf numFmtId="0" fontId="10" fillId="7" borderId="3" xfId="0" applyFont="1" applyFill="1" applyBorder="1"/>
    <xf numFmtId="168" fontId="10" fillId="7" borderId="4" xfId="0" applyNumberFormat="1" applyFont="1" applyFill="1" applyBorder="1"/>
    <xf numFmtId="0" fontId="10" fillId="7" borderId="8" xfId="0" applyFont="1" applyFill="1" applyBorder="1"/>
    <xf numFmtId="166" fontId="10" fillId="7" borderId="7" xfId="0" applyNumberFormat="1" applyFont="1" applyFill="1" applyBorder="1"/>
    <xf numFmtId="0" fontId="5" fillId="6" borderId="5" xfId="0" applyFont="1" applyFill="1" applyBorder="1"/>
    <xf numFmtId="164" fontId="5" fillId="6" borderId="6" xfId="1" applyNumberFormat="1" applyFont="1" applyFill="1" applyBorder="1"/>
    <xf numFmtId="164" fontId="5" fillId="6" borderId="11" xfId="0" applyNumberFormat="1" applyFont="1" applyFill="1" applyBorder="1"/>
    <xf numFmtId="0" fontId="5" fillId="6" borderId="5" xfId="0" applyFont="1" applyFill="1" applyBorder="1" applyAlignment="1">
      <alignment horizontal="left"/>
    </xf>
    <xf numFmtId="10" fontId="5" fillId="6" borderId="7" xfId="0" applyNumberFormat="1" applyFont="1" applyFill="1" applyBorder="1"/>
    <xf numFmtId="168" fontId="10" fillId="7" borderId="7" xfId="0" applyNumberFormat="1" applyFont="1" applyFill="1" applyBorder="1"/>
    <xf numFmtId="0" fontId="15" fillId="7" borderId="8" xfId="0" applyFont="1" applyFill="1" applyBorder="1"/>
    <xf numFmtId="168" fontId="15" fillId="7" borderId="7" xfId="0" applyNumberFormat="1" applyFont="1" applyFill="1" applyBorder="1"/>
    <xf numFmtId="168" fontId="5" fillId="6" borderId="10" xfId="0" applyNumberFormat="1" applyFont="1" applyFill="1" applyBorder="1"/>
    <xf numFmtId="0" fontId="5" fillId="6" borderId="10" xfId="0" applyFont="1" applyFill="1" applyBorder="1"/>
    <xf numFmtId="169" fontId="5" fillId="6" borderId="10" xfId="0" applyNumberFormat="1" applyFont="1" applyFill="1" applyBorder="1"/>
    <xf numFmtId="14" fontId="14" fillId="8" borderId="13" xfId="0" applyNumberFormat="1" applyFont="1" applyFill="1" applyBorder="1"/>
    <xf numFmtId="9" fontId="14" fillId="8" borderId="13" xfId="0" applyNumberFormat="1" applyFont="1" applyFill="1" applyBorder="1"/>
    <xf numFmtId="10" fontId="5" fillId="8" borderId="13" xfId="0" applyNumberFormat="1" applyFont="1" applyFill="1" applyBorder="1"/>
    <xf numFmtId="0" fontId="14" fillId="8" borderId="13" xfId="0" applyFont="1" applyFill="1" applyBorder="1"/>
    <xf numFmtId="2" fontId="14" fillId="7" borderId="13" xfId="0" applyNumberFormat="1" applyFont="1" applyFill="1" applyBorder="1"/>
    <xf numFmtId="0" fontId="14" fillId="8" borderId="25" xfId="0" applyFont="1" applyFill="1" applyBorder="1"/>
    <xf numFmtId="0" fontId="5" fillId="6" borderId="1" xfId="0" applyFont="1" applyFill="1" applyBorder="1"/>
    <xf numFmtId="0" fontId="5" fillId="6" borderId="6" xfId="0" applyFont="1" applyFill="1" applyBorder="1"/>
    <xf numFmtId="0" fontId="5" fillId="6" borderId="6" xfId="0" applyFont="1" applyFill="1" applyBorder="1" applyAlignment="1">
      <alignment horizontal="right"/>
    </xf>
    <xf numFmtId="0" fontId="16" fillId="6" borderId="5" xfId="0" applyFont="1" applyFill="1" applyBorder="1"/>
    <xf numFmtId="0" fontId="5" fillId="8" borderId="9" xfId="0" applyFont="1" applyFill="1" applyBorder="1"/>
    <xf numFmtId="166" fontId="5" fillId="9" borderId="6" xfId="0" applyNumberFormat="1" applyFont="1" applyFill="1" applyBorder="1"/>
    <xf numFmtId="0" fontId="5" fillId="6" borderId="16" xfId="0" applyFont="1" applyFill="1" applyBorder="1"/>
    <xf numFmtId="166" fontId="5" fillId="6" borderId="6" xfId="0" applyNumberFormat="1" applyFont="1" applyFill="1" applyBorder="1"/>
    <xf numFmtId="168" fontId="5" fillId="8" borderId="9" xfId="0" applyNumberFormat="1" applyFont="1" applyFill="1" applyBorder="1"/>
    <xf numFmtId="0" fontId="5" fillId="6" borderId="8" xfId="0" applyFont="1" applyFill="1" applyBorder="1"/>
    <xf numFmtId="0" fontId="5" fillId="6" borderId="7" xfId="0" applyFont="1" applyFill="1" applyBorder="1"/>
    <xf numFmtId="170" fontId="5" fillId="6" borderId="0" xfId="0" applyNumberFormat="1" applyFont="1" applyFill="1"/>
    <xf numFmtId="170" fontId="5" fillId="6" borderId="6" xfId="0" applyNumberFormat="1" applyFont="1" applyFill="1" applyBorder="1"/>
    <xf numFmtId="170" fontId="5" fillId="6" borderId="1" xfId="0" applyNumberFormat="1" applyFont="1" applyFill="1" applyBorder="1"/>
    <xf numFmtId="170" fontId="5" fillId="6" borderId="7" xfId="0" applyNumberFormat="1" applyFont="1" applyFill="1" applyBorder="1"/>
    <xf numFmtId="170" fontId="10" fillId="6" borderId="0" xfId="0" applyNumberFormat="1" applyFont="1" applyFill="1"/>
    <xf numFmtId="170" fontId="10" fillId="6" borderId="6" xfId="0" applyNumberFormat="1" applyFont="1" applyFill="1" applyBorder="1"/>
    <xf numFmtId="170" fontId="5" fillId="6" borderId="0" xfId="0" applyNumberFormat="1" applyFont="1" applyFill="1" applyAlignment="1">
      <alignment horizontal="right"/>
    </xf>
    <xf numFmtId="170" fontId="10" fillId="6" borderId="1" xfId="0" applyNumberFormat="1" applyFont="1" applyFill="1" applyBorder="1"/>
    <xf numFmtId="170" fontId="10" fillId="6" borderId="7" xfId="0" applyNumberFormat="1" applyFont="1" applyFill="1" applyBorder="1"/>
    <xf numFmtId="170" fontId="5" fillId="7" borderId="12" xfId="0" applyNumberFormat="1" applyFont="1" applyFill="1" applyBorder="1"/>
    <xf numFmtId="170" fontId="5" fillId="7" borderId="4" xfId="0" applyNumberFormat="1" applyFont="1" applyFill="1" applyBorder="1"/>
    <xf numFmtId="170" fontId="10" fillId="7" borderId="21" xfId="0" applyNumberFormat="1" applyFont="1" applyFill="1" applyBorder="1"/>
    <xf numFmtId="170" fontId="10" fillId="7" borderId="21" xfId="0" applyNumberFormat="1" applyFont="1" applyFill="1" applyBorder="1" applyAlignment="1">
      <alignment horizontal="right"/>
    </xf>
    <xf numFmtId="170" fontId="10" fillId="7" borderId="22" xfId="0" applyNumberFormat="1" applyFont="1" applyFill="1" applyBorder="1"/>
    <xf numFmtId="167" fontId="5" fillId="6" borderId="0" xfId="0" applyNumberFormat="1" applyFont="1" applyFill="1"/>
    <xf numFmtId="167" fontId="5" fillId="6" borderId="6" xfId="0" applyNumberFormat="1" applyFont="1" applyFill="1" applyBorder="1"/>
    <xf numFmtId="164" fontId="17" fillId="6" borderId="1" xfId="1" applyNumberFormat="1" applyFont="1" applyFill="1" applyBorder="1"/>
    <xf numFmtId="164" fontId="5" fillId="6" borderId="1" xfId="1" applyNumberFormat="1" applyFont="1" applyFill="1" applyBorder="1"/>
    <xf numFmtId="164" fontId="5" fillId="6" borderId="7" xfId="1" applyNumberFormat="1" applyFont="1" applyFill="1" applyBorder="1"/>
    <xf numFmtId="0" fontId="5" fillId="7" borderId="1" xfId="0" applyFont="1" applyFill="1" applyBorder="1"/>
    <xf numFmtId="0" fontId="5" fillId="7" borderId="7" xfId="0" applyFont="1" applyFill="1" applyBorder="1"/>
    <xf numFmtId="165" fontId="10" fillId="7" borderId="1" xfId="0" applyNumberFormat="1" applyFont="1" applyFill="1" applyBorder="1"/>
    <xf numFmtId="165" fontId="10" fillId="7" borderId="7" xfId="0" applyNumberFormat="1" applyFont="1" applyFill="1" applyBorder="1"/>
    <xf numFmtId="168" fontId="5" fillId="6" borderId="0" xfId="0" applyNumberFormat="1" applyFont="1" applyFill="1" applyAlignment="1">
      <alignment horizontal="right"/>
    </xf>
    <xf numFmtId="170" fontId="5" fillId="6" borderId="5" xfId="0" applyNumberFormat="1" applyFont="1" applyFill="1" applyBorder="1" applyAlignment="1">
      <alignment horizontal="right"/>
    </xf>
    <xf numFmtId="170" fontId="5" fillId="6" borderId="6" xfId="0" applyNumberFormat="1" applyFont="1" applyFill="1" applyBorder="1" applyAlignment="1">
      <alignment horizontal="right"/>
    </xf>
    <xf numFmtId="165" fontId="5" fillId="6" borderId="0" xfId="0" applyNumberFormat="1" applyFont="1" applyFill="1" applyAlignment="1">
      <alignment horizontal="right"/>
    </xf>
    <xf numFmtId="0" fontId="5" fillId="6" borderId="5" xfId="0" applyFont="1" applyFill="1" applyBorder="1" applyAlignment="1">
      <alignment horizontal="right"/>
    </xf>
    <xf numFmtId="0" fontId="5" fillId="6" borderId="0" xfId="0" applyFont="1" applyFill="1" applyAlignment="1">
      <alignment horizontal="right"/>
    </xf>
    <xf numFmtId="2" fontId="5" fillId="6" borderId="0" xfId="0" applyNumberFormat="1" applyFont="1" applyFill="1" applyAlignment="1">
      <alignment horizontal="right"/>
    </xf>
    <xf numFmtId="164" fontId="5" fillId="6" borderId="0" xfId="0" applyNumberFormat="1" applyFont="1" applyFill="1" applyAlignment="1">
      <alignment horizontal="right"/>
    </xf>
    <xf numFmtId="164" fontId="5" fillId="6" borderId="6" xfId="0" applyNumberFormat="1" applyFont="1" applyFill="1" applyBorder="1" applyAlignment="1">
      <alignment horizontal="right"/>
    </xf>
    <xf numFmtId="164" fontId="5" fillId="6" borderId="5" xfId="0" applyNumberFormat="1" applyFont="1" applyFill="1" applyBorder="1" applyAlignment="1">
      <alignment horizontal="right"/>
    </xf>
    <xf numFmtId="164" fontId="5" fillId="6" borderId="0" xfId="1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right"/>
    </xf>
    <xf numFmtId="10" fontId="5" fillId="6" borderId="1" xfId="0" applyNumberFormat="1" applyFont="1" applyFill="1" applyBorder="1" applyAlignment="1">
      <alignment horizontal="right"/>
    </xf>
    <xf numFmtId="164" fontId="5" fillId="6" borderId="8" xfId="0" applyNumberFormat="1" applyFont="1" applyFill="1" applyBorder="1" applyAlignment="1">
      <alignment horizontal="right"/>
    </xf>
    <xf numFmtId="164" fontId="5" fillId="6" borderId="1" xfId="0" applyNumberFormat="1" applyFont="1" applyFill="1" applyBorder="1" applyAlignment="1">
      <alignment horizontal="right"/>
    </xf>
    <xf numFmtId="164" fontId="5" fillId="6" borderId="7" xfId="0" applyNumberFormat="1" applyFont="1" applyFill="1" applyBorder="1" applyAlignment="1">
      <alignment horizontal="right"/>
    </xf>
    <xf numFmtId="0" fontId="15" fillId="6" borderId="0" xfId="0" applyFont="1" applyFill="1"/>
    <xf numFmtId="0" fontId="10" fillId="6" borderId="5" xfId="0" applyFont="1" applyFill="1" applyBorder="1"/>
    <xf numFmtId="0" fontId="10" fillId="6" borderId="8" xfId="0" applyFont="1" applyFill="1" applyBorder="1"/>
    <xf numFmtId="0" fontId="9" fillId="3" borderId="26" xfId="0" applyFont="1" applyFill="1" applyBorder="1"/>
    <xf numFmtId="0" fontId="6" fillId="3" borderId="21" xfId="0" applyFont="1" applyFill="1" applyBorder="1"/>
    <xf numFmtId="0" fontId="6" fillId="3" borderId="22" xfId="0" applyFont="1" applyFill="1" applyBorder="1"/>
    <xf numFmtId="168" fontId="10" fillId="6" borderId="0" xfId="0" applyNumberFormat="1" applyFont="1" applyFill="1" applyAlignment="1">
      <alignment horizontal="right"/>
    </xf>
    <xf numFmtId="170" fontId="10" fillId="6" borderId="5" xfId="0" applyNumberFormat="1" applyFont="1" applyFill="1" applyBorder="1" applyAlignment="1">
      <alignment horizontal="right"/>
    </xf>
    <xf numFmtId="170" fontId="10" fillId="6" borderId="0" xfId="0" applyNumberFormat="1" applyFont="1" applyFill="1" applyAlignment="1">
      <alignment horizontal="right"/>
    </xf>
    <xf numFmtId="170" fontId="10" fillId="6" borderId="6" xfId="0" applyNumberFormat="1" applyFont="1" applyFill="1" applyBorder="1" applyAlignment="1">
      <alignment horizontal="right"/>
    </xf>
    <xf numFmtId="0" fontId="18" fillId="6" borderId="5" xfId="0" applyFont="1" applyFill="1" applyBorder="1"/>
    <xf numFmtId="0" fontId="5" fillId="6" borderId="3" xfId="0" applyFont="1" applyFill="1" applyBorder="1"/>
    <xf numFmtId="10" fontId="17" fillId="8" borderId="27" xfId="0" applyNumberFormat="1" applyFont="1" applyFill="1" applyBorder="1"/>
    <xf numFmtId="0" fontId="17" fillId="8" borderId="30" xfId="0" applyFont="1" applyFill="1" applyBorder="1"/>
    <xf numFmtId="10" fontId="17" fillId="8" borderId="29" xfId="0" applyNumberFormat="1" applyFont="1" applyFill="1" applyBorder="1"/>
    <xf numFmtId="10" fontId="17" fillId="8" borderId="28" xfId="0" applyNumberFormat="1" applyFont="1" applyFill="1" applyBorder="1"/>
    <xf numFmtId="10" fontId="5" fillId="6" borderId="6" xfId="0" applyNumberFormat="1" applyFont="1" applyFill="1" applyBorder="1"/>
    <xf numFmtId="8" fontId="5" fillId="8" borderId="27" xfId="0" applyNumberFormat="1" applyFont="1" applyFill="1" applyBorder="1"/>
    <xf numFmtId="2" fontId="5" fillId="8" borderId="28" xfId="0" applyNumberFormat="1" applyFont="1" applyFill="1" applyBorder="1"/>
    <xf numFmtId="0" fontId="5" fillId="6" borderId="4" xfId="0" applyFont="1" applyFill="1" applyBorder="1"/>
    <xf numFmtId="166" fontId="17" fillId="8" borderId="27" xfId="0" applyNumberFormat="1" applyFont="1" applyFill="1" applyBorder="1"/>
    <xf numFmtId="8" fontId="17" fillId="8" borderId="31" xfId="0" applyNumberFormat="1" applyFont="1" applyFill="1" applyBorder="1" applyAlignment="1">
      <alignment horizontal="right"/>
    </xf>
    <xf numFmtId="8" fontId="17" fillId="8" borderId="28" xfId="0" applyNumberFormat="1" applyFont="1" applyFill="1" applyBorder="1" applyAlignment="1">
      <alignment horizontal="right"/>
    </xf>
    <xf numFmtId="166" fontId="17" fillId="8" borderId="2" xfId="0" applyNumberFormat="1" applyFont="1" applyFill="1" applyBorder="1"/>
    <xf numFmtId="10" fontId="17" fillId="8" borderId="27" xfId="1" applyNumberFormat="1" applyFont="1" applyFill="1" applyBorder="1"/>
    <xf numFmtId="10" fontId="17" fillId="8" borderId="28" xfId="1" applyNumberFormat="1" applyFont="1" applyFill="1" applyBorder="1"/>
    <xf numFmtId="0" fontId="5" fillId="6" borderId="4" xfId="0" applyFont="1" applyFill="1" applyBorder="1" applyAlignment="1">
      <alignment horizontal="right"/>
    </xf>
    <xf numFmtId="168" fontId="10" fillId="6" borderId="6" xfId="0" applyNumberFormat="1" applyFont="1" applyFill="1" applyBorder="1"/>
    <xf numFmtId="0" fontId="10" fillId="7" borderId="5" xfId="0" applyFont="1" applyFill="1" applyBorder="1"/>
    <xf numFmtId="168" fontId="10" fillId="7" borderId="6" xfId="0" applyNumberFormat="1" applyFont="1" applyFill="1" applyBorder="1"/>
    <xf numFmtId="171" fontId="5" fillId="6" borderId="0" xfId="0" applyNumberFormat="1" applyFont="1" applyFill="1" applyAlignment="1">
      <alignment horizontal="right"/>
    </xf>
    <xf numFmtId="0" fontId="10" fillId="6" borderId="3" xfId="0" applyFont="1" applyFill="1" applyBorder="1"/>
    <xf numFmtId="0" fontId="10" fillId="6" borderId="26" xfId="0" applyFont="1" applyFill="1" applyBorder="1"/>
    <xf numFmtId="10" fontId="19" fillId="8" borderId="2" xfId="0" applyNumberFormat="1" applyFont="1" applyFill="1" applyBorder="1"/>
    <xf numFmtId="0" fontId="19" fillId="6" borderId="26" xfId="0" applyFont="1" applyFill="1" applyBorder="1"/>
    <xf numFmtId="0" fontId="0" fillId="6" borderId="0" xfId="0" applyFill="1" applyAlignment="1">
      <alignment horizontal="right"/>
    </xf>
    <xf numFmtId="10" fontId="13" fillId="5" borderId="12" xfId="0" applyNumberFormat="1" applyFont="1" applyFill="1" applyBorder="1" applyAlignment="1">
      <alignment horizontal="right"/>
    </xf>
    <xf numFmtId="10" fontId="11" fillId="5" borderId="12" xfId="0" applyNumberFormat="1" applyFont="1" applyFill="1" applyBorder="1" applyAlignment="1">
      <alignment horizontal="right"/>
    </xf>
    <xf numFmtId="10" fontId="13" fillId="5" borderId="4" xfId="0" applyNumberFormat="1" applyFont="1" applyFill="1" applyBorder="1" applyAlignment="1">
      <alignment horizontal="right"/>
    </xf>
    <xf numFmtId="0" fontId="9" fillId="2" borderId="12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15" fillId="6" borderId="0" xfId="0" applyFont="1" applyFill="1" applyAlignment="1">
      <alignment horizontal="center" vertical="center" textRotation="90"/>
    </xf>
    <xf numFmtId="0" fontId="5" fillId="8" borderId="14" xfId="0" applyFont="1" applyFill="1" applyBorder="1" applyAlignment="1">
      <alignment horizontal="center"/>
    </xf>
    <xf numFmtId="0" fontId="5" fillId="8" borderId="15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EC5EC3"/>
      <color rgb="FFFDE3F5"/>
      <color rgb="FF354C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C3C7-2D25-4A5A-86AD-FF7F53D34569}">
  <sheetPr>
    <tabColor theme="4" tint="0.39997558519241921"/>
  </sheetPr>
  <dimension ref="A1:AV111"/>
  <sheetViews>
    <sheetView tabSelected="1" topLeftCell="A13" zoomScale="69" zoomScaleNormal="81" workbookViewId="0">
      <selection activeCell="N42" sqref="N42"/>
    </sheetView>
  </sheetViews>
  <sheetFormatPr defaultRowHeight="14.4" x14ac:dyDescent="0.3"/>
  <cols>
    <col min="1" max="1" width="8.88671875" style="7"/>
    <col min="2" max="2" width="36.77734375" customWidth="1"/>
    <col min="3" max="3" width="13.5546875" customWidth="1"/>
    <col min="4" max="4" width="12.109375" customWidth="1"/>
    <col min="5" max="5" width="12.21875" customWidth="1"/>
    <col min="6" max="6" width="12.77734375" customWidth="1"/>
    <col min="7" max="8" width="13.5546875" customWidth="1"/>
    <col min="9" max="9" width="13.6640625" customWidth="1"/>
    <col min="10" max="10" width="13.109375" customWidth="1"/>
    <col min="11" max="11" width="14.6640625" customWidth="1"/>
    <col min="14" max="14" width="28.109375" customWidth="1"/>
    <col min="15" max="15" width="13.109375" bestFit="1" customWidth="1"/>
    <col min="18" max="18" width="14.44140625" customWidth="1"/>
    <col min="19" max="19" width="13.33203125" customWidth="1"/>
    <col min="22" max="22" width="11.88671875" customWidth="1"/>
  </cols>
  <sheetData>
    <row r="1" spans="1:48" x14ac:dyDescent="0.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</row>
    <row r="2" spans="1:48" ht="25.8" x14ac:dyDescent="0.5">
      <c r="B2" s="14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</row>
    <row r="3" spans="1:48" x14ac:dyDescent="0.3">
      <c r="B3" s="15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ht="15" thickBot="1" x14ac:dyDescent="0.35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s="1" customFormat="1" ht="18.600000000000001" thickBot="1" x14ac:dyDescent="0.4">
      <c r="A5" s="16"/>
      <c r="B5" s="11" t="s">
        <v>2</v>
      </c>
      <c r="C5" s="163" t="s">
        <v>3</v>
      </c>
      <c r="D5" s="163"/>
      <c r="E5" s="163"/>
      <c r="F5" s="163"/>
      <c r="G5" s="11"/>
      <c r="H5" s="12"/>
      <c r="I5" s="12"/>
      <c r="J5" s="12"/>
      <c r="K5" s="13"/>
      <c r="L5" s="16"/>
      <c r="M5" s="16"/>
      <c r="N5" s="20" t="s">
        <v>56</v>
      </c>
      <c r="O5" s="2"/>
      <c r="P5" s="16"/>
      <c r="Q5" s="16"/>
      <c r="R5" s="20" t="s">
        <v>96</v>
      </c>
      <c r="S5" s="21"/>
      <c r="T5" s="21"/>
      <c r="U5" s="22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</row>
    <row r="6" spans="1:48" ht="18" x14ac:dyDescent="0.35">
      <c r="B6" s="45" t="s">
        <v>4</v>
      </c>
      <c r="C6" s="46">
        <v>2019</v>
      </c>
      <c r="D6" s="46">
        <v>2020</v>
      </c>
      <c r="E6" s="46">
        <v>2021</v>
      </c>
      <c r="F6" s="46">
        <v>2022</v>
      </c>
      <c r="G6" s="45">
        <v>2023</v>
      </c>
      <c r="H6" s="46">
        <v>2024</v>
      </c>
      <c r="I6" s="46">
        <v>2025</v>
      </c>
      <c r="J6" s="46">
        <v>2026</v>
      </c>
      <c r="K6" s="47">
        <v>2027</v>
      </c>
      <c r="L6" s="7"/>
      <c r="M6" s="7"/>
      <c r="N6" s="4"/>
      <c r="O6" s="5"/>
      <c r="P6" s="7"/>
      <c r="Q6" s="7"/>
      <c r="R6" s="4"/>
      <c r="S6" s="7"/>
      <c r="T6" s="7"/>
      <c r="U6" s="5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</row>
    <row r="7" spans="1:48" ht="18" x14ac:dyDescent="0.35">
      <c r="B7" s="134" t="s">
        <v>5</v>
      </c>
      <c r="C7" s="7"/>
      <c r="D7" s="7"/>
      <c r="E7" s="7"/>
      <c r="F7" s="7"/>
      <c r="G7" s="4"/>
      <c r="H7" s="7"/>
      <c r="I7" s="7"/>
      <c r="J7" s="7"/>
      <c r="K7" s="5"/>
      <c r="L7" s="7"/>
      <c r="M7" s="7"/>
      <c r="N7" s="125" t="s">
        <v>57</v>
      </c>
      <c r="O7" s="151">
        <f>(K46*(1+R11))/(G48-R11)</f>
        <v>333903.17222271755</v>
      </c>
      <c r="P7" s="7"/>
      <c r="Q7" s="7"/>
      <c r="R7" s="19">
        <f>(R8-R9)/360</f>
        <v>0.18611111111111112</v>
      </c>
      <c r="S7" s="9" t="s">
        <v>28</v>
      </c>
      <c r="T7" s="7"/>
      <c r="U7" s="5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</row>
    <row r="8" spans="1:48" ht="15.6" x14ac:dyDescent="0.3">
      <c r="B8" s="125" t="s">
        <v>6</v>
      </c>
      <c r="C8" s="130">
        <v>24578</v>
      </c>
      <c r="D8" s="130">
        <v>31536</v>
      </c>
      <c r="E8" s="130">
        <v>53823</v>
      </c>
      <c r="F8" s="130">
        <v>81462</v>
      </c>
      <c r="G8" s="131">
        <f>F8*(1+G23)</f>
        <v>97347.090000000011</v>
      </c>
      <c r="H8" s="132">
        <f>G8*(1+H23)</f>
        <v>120028.96197000002</v>
      </c>
      <c r="I8" s="132">
        <f>H8*(1+I23)</f>
        <v>149436.05765265002</v>
      </c>
      <c r="J8" s="132">
        <f>I8*(1+J23)</f>
        <v>170357.10572402104</v>
      </c>
      <c r="K8" s="133">
        <f>J8*(1+K23)</f>
        <v>187392.81629642315</v>
      </c>
      <c r="L8" s="7"/>
      <c r="M8" s="7"/>
      <c r="N8" s="60" t="s">
        <v>59</v>
      </c>
      <c r="O8" s="100">
        <f>K47</f>
        <v>4.1861111111111109</v>
      </c>
      <c r="P8" s="7"/>
      <c r="Q8" s="7"/>
      <c r="R8" s="68">
        <v>45291</v>
      </c>
      <c r="S8" s="9" t="s">
        <v>42</v>
      </c>
      <c r="T8" s="9"/>
      <c r="U8" s="5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</row>
    <row r="9" spans="1:48" ht="16.2" thickBot="1" x14ac:dyDescent="0.35">
      <c r="B9" s="57" t="s">
        <v>7</v>
      </c>
      <c r="C9" s="108">
        <v>4069</v>
      </c>
      <c r="D9" s="108">
        <v>6630</v>
      </c>
      <c r="E9" s="108">
        <v>13606</v>
      </c>
      <c r="F9" s="108">
        <v>20853</v>
      </c>
      <c r="G9" s="109">
        <f>G8*G24</f>
        <v>18009.211650000001</v>
      </c>
      <c r="H9" s="91">
        <f>H8*H24</f>
        <v>24365.879279910005</v>
      </c>
      <c r="I9" s="91">
        <f>I8*I24</f>
        <v>33324.240856540957</v>
      </c>
      <c r="J9" s="91">
        <f>J8*J24</f>
        <v>41737.490902385151</v>
      </c>
      <c r="K9" s="110">
        <f>K8*K24</f>
        <v>46848.204074105786</v>
      </c>
      <c r="L9" s="7"/>
      <c r="M9" s="7"/>
      <c r="N9" s="57" t="s">
        <v>60</v>
      </c>
      <c r="O9" s="61">
        <f>G48</f>
        <v>0.13900000000000001</v>
      </c>
      <c r="P9" s="7"/>
      <c r="Q9" s="7"/>
      <c r="R9" s="68">
        <v>45224</v>
      </c>
      <c r="S9" s="9" t="s">
        <v>76</v>
      </c>
      <c r="T9" s="9"/>
      <c r="U9" s="5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</row>
    <row r="10" spans="1:48" ht="18.600000000000001" thickBot="1" x14ac:dyDescent="0.4">
      <c r="B10" s="57" t="s">
        <v>19</v>
      </c>
      <c r="C10" s="108">
        <v>25062</v>
      </c>
      <c r="D10" s="108">
        <v>29893</v>
      </c>
      <c r="E10" s="108">
        <v>39867</v>
      </c>
      <c r="F10" s="108">
        <v>48134</v>
      </c>
      <c r="G10" s="109">
        <f>F10+G15</f>
        <v>56700.543919999996</v>
      </c>
      <c r="H10" s="91">
        <f>G10+H15</f>
        <v>65702.716067749992</v>
      </c>
      <c r="I10" s="91">
        <f>H10+I15</f>
        <v>75565.495872824889</v>
      </c>
      <c r="J10" s="91">
        <f>I10+J15</f>
        <v>87831.207484954401</v>
      </c>
      <c r="K10" s="110">
        <f>J10+K15</f>
        <v>97388.241116071978</v>
      </c>
      <c r="L10" s="7"/>
      <c r="M10" s="7"/>
      <c r="N10" s="63" t="s">
        <v>58</v>
      </c>
      <c r="O10" s="64">
        <f>O7/(1+O9)^O8</f>
        <v>193644.85190315606</v>
      </c>
      <c r="P10" s="7"/>
      <c r="Q10" s="7"/>
      <c r="R10" s="57"/>
      <c r="S10" s="9"/>
      <c r="T10" s="9"/>
      <c r="U10" s="5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</row>
    <row r="11" spans="1:48" ht="16.2" thickBot="1" x14ac:dyDescent="0.35">
      <c r="B11" s="57" t="s">
        <v>20</v>
      </c>
      <c r="C11" s="108">
        <v>80</v>
      </c>
      <c r="D11" s="108">
        <v>1951</v>
      </c>
      <c r="E11" s="108">
        <v>6523</v>
      </c>
      <c r="F11" s="108">
        <v>13692</v>
      </c>
      <c r="G11" s="109">
        <f>G8*G26</f>
        <v>11000.221170000001</v>
      </c>
      <c r="H11" s="91">
        <f>H8*H26</f>
        <v>14883.591284280003</v>
      </c>
      <c r="I11" s="91">
        <f>I8*I26</f>
        <v>25852.437973908451</v>
      </c>
      <c r="J11" s="91">
        <f>J8*J26</f>
        <v>32027.135876115954</v>
      </c>
      <c r="K11" s="110">
        <f>K8*K26</f>
        <v>36166.813545209669</v>
      </c>
      <c r="L11" s="7"/>
      <c r="M11" s="7"/>
      <c r="N11" s="7"/>
      <c r="O11" s="7"/>
      <c r="P11" s="7"/>
      <c r="Q11" s="7"/>
      <c r="R11" s="69">
        <v>0.06</v>
      </c>
      <c r="S11" s="9" t="s">
        <v>61</v>
      </c>
      <c r="T11" s="9"/>
      <c r="U11" s="5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</row>
    <row r="12" spans="1:48" ht="18" x14ac:dyDescent="0.35">
      <c r="B12" s="57" t="s">
        <v>21</v>
      </c>
      <c r="C12" s="108">
        <v>2092</v>
      </c>
      <c r="D12" s="108">
        <v>2322</v>
      </c>
      <c r="E12" s="108">
        <v>2911</v>
      </c>
      <c r="F12" s="108">
        <v>3747</v>
      </c>
      <c r="G12" s="109">
        <f>G10*G30</f>
        <v>4536.0435135999996</v>
      </c>
      <c r="H12" s="91">
        <f>H10*H30</f>
        <v>5256.2172854199998</v>
      </c>
      <c r="I12" s="91">
        <f>I10*I30</f>
        <v>6045.2396698259909</v>
      </c>
      <c r="J12" s="91">
        <f>J10*J30</f>
        <v>7026.4965987963524</v>
      </c>
      <c r="K12" s="110">
        <f>K10*K30</f>
        <v>7791.0592892857585</v>
      </c>
      <c r="L12" s="7"/>
      <c r="M12" s="7"/>
      <c r="N12" s="20" t="s">
        <v>62</v>
      </c>
      <c r="O12" s="3"/>
      <c r="P12" s="7"/>
      <c r="Q12" s="7"/>
      <c r="R12" s="70">
        <v>0.01</v>
      </c>
      <c r="S12" s="9" t="s">
        <v>94</v>
      </c>
      <c r="T12" s="9"/>
      <c r="U12" s="5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</row>
    <row r="13" spans="1:48" ht="15.6" x14ac:dyDescent="0.3">
      <c r="B13" s="57" t="s">
        <v>8</v>
      </c>
      <c r="C13" s="108">
        <v>2172</v>
      </c>
      <c r="D13" s="108">
        <v>4273</v>
      </c>
      <c r="E13" s="108">
        <v>9434</v>
      </c>
      <c r="F13" s="108">
        <v>17439</v>
      </c>
      <c r="G13" s="109">
        <f>G11+G12</f>
        <v>15536.2646836</v>
      </c>
      <c r="H13" s="91">
        <f>H11+H12</f>
        <v>20139.808569700002</v>
      </c>
      <c r="I13" s="91">
        <f>I11+I12</f>
        <v>31897.677643734442</v>
      </c>
      <c r="J13" s="91">
        <f>J11+J12</f>
        <v>39053.632474912309</v>
      </c>
      <c r="K13" s="110">
        <f>K11+K12</f>
        <v>43957.872834495429</v>
      </c>
      <c r="L13" s="7"/>
      <c r="M13" s="7"/>
      <c r="N13" s="4"/>
      <c r="O13" s="5"/>
      <c r="P13" s="7"/>
      <c r="Q13" s="7"/>
      <c r="R13" s="70">
        <v>0.01</v>
      </c>
      <c r="S13" s="9" t="s">
        <v>95</v>
      </c>
      <c r="T13" s="9"/>
      <c r="U13" s="5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</row>
    <row r="14" spans="1:48" ht="16.2" thickBot="1" x14ac:dyDescent="0.35">
      <c r="B14" s="57" t="s">
        <v>10</v>
      </c>
      <c r="C14" s="108">
        <f>-862</f>
        <v>-862</v>
      </c>
      <c r="D14" s="108">
        <v>721</v>
      </c>
      <c r="E14" s="108">
        <v>5519</v>
      </c>
      <c r="F14" s="108">
        <v>12556</v>
      </c>
      <c r="G14" s="109">
        <f>F14*(1+G28)</f>
        <v>13748.82</v>
      </c>
      <c r="H14" s="91">
        <f t="shared" ref="H14:K14" si="0">G14*(1+H28)</f>
        <v>15247.44138</v>
      </c>
      <c r="I14" s="91">
        <f t="shared" si="0"/>
        <v>17199.113876640004</v>
      </c>
      <c r="J14" s="91">
        <f t="shared" si="0"/>
        <v>19366.202225096644</v>
      </c>
      <c r="K14" s="110">
        <f t="shared" si="0"/>
        <v>21883.808514359207</v>
      </c>
      <c r="L14" s="7"/>
      <c r="M14" s="7"/>
      <c r="N14" s="55" t="s">
        <v>63</v>
      </c>
      <c r="O14" s="62">
        <f>SUM(G49:K49)</f>
        <v>42688.389380283974</v>
      </c>
      <c r="P14" s="7"/>
      <c r="Q14" s="7"/>
      <c r="R14" s="57"/>
      <c r="S14" s="9"/>
      <c r="T14" s="9"/>
      <c r="U14" s="5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</row>
    <row r="15" spans="1:48" ht="16.2" thickBot="1" x14ac:dyDescent="0.35">
      <c r="B15" s="57" t="s">
        <v>22</v>
      </c>
      <c r="C15" s="108">
        <v>1432</v>
      </c>
      <c r="D15" s="108">
        <v>3232</v>
      </c>
      <c r="E15" s="108">
        <v>6514</v>
      </c>
      <c r="F15" s="108">
        <v>7163</v>
      </c>
      <c r="G15" s="109">
        <f>G8*G29</f>
        <v>8566.5439200000001</v>
      </c>
      <c r="H15" s="91">
        <f>H8*H29</f>
        <v>9002.1721477500014</v>
      </c>
      <c r="I15" s="91">
        <f>I8*I29</f>
        <v>9862.7798050749025</v>
      </c>
      <c r="J15" s="91">
        <f>J8*J29</f>
        <v>12265.711612129513</v>
      </c>
      <c r="K15" s="110">
        <f>K8*K29</f>
        <v>9557.0336311175797</v>
      </c>
      <c r="L15" s="7"/>
      <c r="M15" s="7"/>
      <c r="N15" s="7"/>
      <c r="O15" s="7"/>
      <c r="P15" s="7"/>
      <c r="Q15" s="7"/>
      <c r="R15" s="71">
        <v>3178.9</v>
      </c>
      <c r="S15" s="9" t="s">
        <v>77</v>
      </c>
      <c r="T15" s="9"/>
      <c r="U15" s="5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</row>
    <row r="16" spans="1:48" ht="18" x14ac:dyDescent="0.35">
      <c r="B16" s="57" t="s">
        <v>23</v>
      </c>
      <c r="C16" s="108" t="s">
        <v>24</v>
      </c>
      <c r="D16" s="91">
        <v>1678</v>
      </c>
      <c r="E16" s="91">
        <f>3858</f>
        <v>3858</v>
      </c>
      <c r="F16" s="91">
        <v>2365</v>
      </c>
      <c r="G16" s="109">
        <f>(G8-F8)*G31</f>
        <v>1588.5090000000012</v>
      </c>
      <c r="H16" s="91">
        <f>(H8-G8)*H31</f>
        <v>2268.1871970000007</v>
      </c>
      <c r="I16" s="91">
        <f>(I8-H8)*I31</f>
        <v>2940.7095682650006</v>
      </c>
      <c r="J16" s="91">
        <f>(J8-I8)*J31</f>
        <v>2092.1048071371015</v>
      </c>
      <c r="K16" s="110">
        <f>(K8-J8)*K31</f>
        <v>1703.5710572402111</v>
      </c>
      <c r="L16" s="7"/>
      <c r="M16" s="7"/>
      <c r="N16" s="20" t="s">
        <v>64</v>
      </c>
      <c r="O16" s="2"/>
      <c r="P16" s="7"/>
      <c r="Q16" s="7"/>
      <c r="R16" s="72">
        <f>R15+V27+V35</f>
        <v>3536.002577586175</v>
      </c>
      <c r="S16" s="9" t="s">
        <v>78</v>
      </c>
      <c r="T16" s="9"/>
      <c r="U16" s="5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</row>
    <row r="17" spans="2:48" ht="15.6" x14ac:dyDescent="0.3">
      <c r="B17" s="57"/>
      <c r="C17" s="111"/>
      <c r="D17" s="111"/>
      <c r="E17" s="111"/>
      <c r="F17" s="111"/>
      <c r="G17" s="112"/>
      <c r="H17" s="113"/>
      <c r="I17" s="113"/>
      <c r="J17" s="113"/>
      <c r="K17" s="76"/>
      <c r="L17" s="7"/>
      <c r="M17" s="7"/>
      <c r="N17" s="4"/>
      <c r="O17" s="5"/>
      <c r="P17" s="7"/>
      <c r="Q17" s="7"/>
      <c r="R17" s="57"/>
      <c r="S17" s="9"/>
      <c r="T17" s="9"/>
      <c r="U17" s="5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</row>
    <row r="18" spans="2:48" ht="16.2" thickBot="1" x14ac:dyDescent="0.35">
      <c r="B18" s="57" t="s">
        <v>9</v>
      </c>
      <c r="C18" s="154">
        <f>-0.33</f>
        <v>-0.33</v>
      </c>
      <c r="D18" s="114">
        <v>0.21</v>
      </c>
      <c r="E18" s="114">
        <v>1.63</v>
      </c>
      <c r="F18" s="114">
        <v>3.62</v>
      </c>
      <c r="G18" s="112"/>
      <c r="H18" s="113"/>
      <c r="I18" s="113"/>
      <c r="J18" s="113"/>
      <c r="K18" s="76"/>
      <c r="L18" s="7"/>
      <c r="M18" s="7"/>
      <c r="N18" s="57" t="s">
        <v>65</v>
      </c>
      <c r="O18" s="58">
        <f>O14/O24</f>
        <v>0.18062795207503959</v>
      </c>
      <c r="P18" s="7"/>
      <c r="Q18" s="7"/>
      <c r="R18" s="73">
        <v>212.43</v>
      </c>
      <c r="S18" s="74" t="s">
        <v>79</v>
      </c>
      <c r="T18" s="74"/>
      <c r="U18" s="8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</row>
    <row r="19" spans="2:48" ht="16.2" thickBot="1" x14ac:dyDescent="0.35">
      <c r="B19" s="57" t="s">
        <v>11</v>
      </c>
      <c r="C19" s="113" t="s">
        <v>12</v>
      </c>
      <c r="D19" s="113" t="s">
        <v>12</v>
      </c>
      <c r="E19" s="115">
        <v>6.7809999999999997</v>
      </c>
      <c r="F19" s="115">
        <v>1.216</v>
      </c>
      <c r="G19" s="112"/>
      <c r="H19" s="113"/>
      <c r="I19" s="113"/>
      <c r="J19" s="113"/>
      <c r="K19" s="76"/>
      <c r="L19" s="7"/>
      <c r="M19" s="7"/>
      <c r="N19" s="57" t="s">
        <v>66</v>
      </c>
      <c r="O19" s="59">
        <f>1-O18</f>
        <v>0.81937204792496043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</row>
    <row r="20" spans="2:48" ht="18.600000000000001" thickBot="1" x14ac:dyDescent="0.4">
      <c r="B20" s="57"/>
      <c r="C20" s="113"/>
      <c r="D20" s="113"/>
      <c r="E20" s="113"/>
      <c r="F20" s="113"/>
      <c r="G20" s="112"/>
      <c r="H20" s="113"/>
      <c r="I20" s="113"/>
      <c r="J20" s="113"/>
      <c r="K20" s="76"/>
      <c r="L20" s="7"/>
      <c r="M20" s="7"/>
      <c r="N20" s="6" t="s">
        <v>67</v>
      </c>
      <c r="O20" s="8"/>
      <c r="P20" s="7"/>
      <c r="Q20" s="7"/>
      <c r="R20" s="20" t="s">
        <v>80</v>
      </c>
      <c r="S20" s="10"/>
      <c r="T20" s="10"/>
      <c r="U20" s="10"/>
      <c r="V20" s="2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</row>
    <row r="21" spans="2:48" ht="15.6" x14ac:dyDescent="0.3">
      <c r="B21" s="57"/>
      <c r="C21" s="113"/>
      <c r="D21" s="113"/>
      <c r="E21" s="113"/>
      <c r="F21" s="113"/>
      <c r="G21" s="112"/>
      <c r="H21" s="113"/>
      <c r="I21" s="113"/>
      <c r="J21" s="113"/>
      <c r="K21" s="76"/>
      <c r="L21" s="7"/>
      <c r="M21" s="7"/>
      <c r="N21" s="7"/>
      <c r="O21" s="7"/>
      <c r="P21" s="7"/>
      <c r="Q21" s="7"/>
      <c r="R21" s="57"/>
      <c r="S21" s="9"/>
      <c r="T21" s="9"/>
      <c r="U21" s="9"/>
      <c r="V21" s="75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</row>
    <row r="22" spans="2:48" ht="18.600000000000001" thickBot="1" x14ac:dyDescent="0.4">
      <c r="B22" s="134" t="s">
        <v>98</v>
      </c>
      <c r="C22" s="113"/>
      <c r="D22" s="113"/>
      <c r="E22" s="113"/>
      <c r="F22" s="113"/>
      <c r="G22" s="112"/>
      <c r="H22" s="113"/>
      <c r="I22" s="113"/>
      <c r="J22" s="113"/>
      <c r="K22" s="76"/>
      <c r="L22" s="7"/>
      <c r="M22" s="7"/>
      <c r="N22" s="7"/>
      <c r="O22" s="7"/>
      <c r="P22" s="7"/>
      <c r="Q22" s="7"/>
      <c r="R22" s="57"/>
      <c r="S22" s="9"/>
      <c r="T22" s="9"/>
      <c r="U22" s="9"/>
      <c r="V22" s="76" t="s">
        <v>90</v>
      </c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</row>
    <row r="23" spans="2:48" ht="18" x14ac:dyDescent="0.35">
      <c r="B23" s="57" t="s">
        <v>13</v>
      </c>
      <c r="C23" s="115">
        <v>0.14499999999999999</v>
      </c>
      <c r="D23" s="115">
        <v>0.28299999999999997</v>
      </c>
      <c r="E23" s="115">
        <v>0.70699999999999996</v>
      </c>
      <c r="F23" s="115">
        <v>0.52400000000000002</v>
      </c>
      <c r="G23" s="117">
        <v>0.19500000000000001</v>
      </c>
      <c r="H23" s="115">
        <v>0.23300000000000001</v>
      </c>
      <c r="I23" s="115">
        <v>0.245</v>
      </c>
      <c r="J23" s="115">
        <v>0.14000000000000001</v>
      </c>
      <c r="K23" s="116">
        <v>0.1</v>
      </c>
      <c r="L23" s="7"/>
      <c r="M23" s="7"/>
      <c r="N23" s="20" t="s">
        <v>68</v>
      </c>
      <c r="O23" s="2"/>
      <c r="P23" s="7"/>
      <c r="Q23" s="7"/>
      <c r="R23" s="77" t="s">
        <v>81</v>
      </c>
      <c r="S23" s="9" t="s">
        <v>86</v>
      </c>
      <c r="T23" s="9" t="s">
        <v>82</v>
      </c>
      <c r="U23" s="9"/>
      <c r="V23" s="76" t="s">
        <v>91</v>
      </c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</row>
    <row r="24" spans="2:48" ht="15.6" x14ac:dyDescent="0.3">
      <c r="B24" s="57" t="s">
        <v>14</v>
      </c>
      <c r="C24" s="115">
        <v>0.16600000000000001</v>
      </c>
      <c r="D24" s="115">
        <v>0.21</v>
      </c>
      <c r="E24" s="115">
        <v>0.253</v>
      </c>
      <c r="F24" s="115">
        <v>0.25600000000000001</v>
      </c>
      <c r="G24" s="117">
        <v>0.185</v>
      </c>
      <c r="H24" s="115">
        <v>0.20300000000000001</v>
      </c>
      <c r="I24" s="115">
        <v>0.223</v>
      </c>
      <c r="J24" s="115">
        <v>0.245</v>
      </c>
      <c r="K24" s="116">
        <v>0.25</v>
      </c>
      <c r="L24" s="7"/>
      <c r="M24" s="7"/>
      <c r="N24" s="152" t="s">
        <v>69</v>
      </c>
      <c r="O24" s="153">
        <f>O10+O14</f>
        <v>236333.24128344003</v>
      </c>
      <c r="P24" s="7"/>
      <c r="Q24" s="7"/>
      <c r="R24" s="57" t="s">
        <v>83</v>
      </c>
      <c r="S24" s="78">
        <v>304.89999999999998</v>
      </c>
      <c r="T24" s="166">
        <v>25.68</v>
      </c>
      <c r="U24" s="167"/>
      <c r="V24" s="79">
        <f>S24-(S24*T24)/R18</f>
        <v>268.04159017087977</v>
      </c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</row>
    <row r="25" spans="2:48" ht="15.6" x14ac:dyDescent="0.3">
      <c r="B25" s="57" t="s">
        <v>15</v>
      </c>
      <c r="C25" s="115">
        <v>8.7999999999999995E-2</v>
      </c>
      <c r="D25" s="115">
        <v>0.13500000000000001</v>
      </c>
      <c r="E25" s="115">
        <v>0.17499999999999999</v>
      </c>
      <c r="F25" s="115">
        <v>0.214</v>
      </c>
      <c r="G25" s="117">
        <v>0.16</v>
      </c>
      <c r="H25" s="115">
        <v>0.16800000000000001</v>
      </c>
      <c r="I25" s="115">
        <v>0.21299999999999999</v>
      </c>
      <c r="J25" s="115">
        <v>0.22900000000000001</v>
      </c>
      <c r="K25" s="116">
        <v>0.23499999999999999</v>
      </c>
      <c r="L25" s="7"/>
      <c r="M25" s="7"/>
      <c r="N25" s="57" t="s">
        <v>70</v>
      </c>
      <c r="O25" s="65">
        <f>8187-S32</f>
        <v>6347</v>
      </c>
      <c r="P25" s="7"/>
      <c r="Q25" s="7"/>
      <c r="R25" s="57" t="s">
        <v>84</v>
      </c>
      <c r="S25" s="78"/>
      <c r="T25" s="166"/>
      <c r="U25" s="167"/>
      <c r="V25" s="75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</row>
    <row r="26" spans="2:48" ht="16.2" thickBot="1" x14ac:dyDescent="0.35">
      <c r="B26" s="57" t="s">
        <v>16</v>
      </c>
      <c r="C26" s="115">
        <v>3.0000000000000001E-3</v>
      </c>
      <c r="D26" s="115">
        <v>6.2E-2</v>
      </c>
      <c r="E26" s="115">
        <v>0.121</v>
      </c>
      <c r="F26" s="115">
        <v>0.16800000000000001</v>
      </c>
      <c r="G26" s="117">
        <v>0.113</v>
      </c>
      <c r="H26" s="115">
        <v>0.124</v>
      </c>
      <c r="I26" s="115">
        <v>0.17299999999999999</v>
      </c>
      <c r="J26" s="115">
        <v>0.188</v>
      </c>
      <c r="K26" s="116">
        <v>0.193</v>
      </c>
      <c r="L26" s="7"/>
      <c r="M26" s="7"/>
      <c r="N26" s="57" t="s">
        <v>71</v>
      </c>
      <c r="O26" s="66"/>
      <c r="P26" s="7"/>
      <c r="Q26" s="7"/>
      <c r="R26" s="57" t="s">
        <v>85</v>
      </c>
      <c r="S26" s="78"/>
      <c r="T26" s="166"/>
      <c r="U26" s="167"/>
      <c r="V26" s="80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</row>
    <row r="27" spans="2:48" ht="15.6" x14ac:dyDescent="0.3">
      <c r="B27" s="57" t="s">
        <v>17</v>
      </c>
      <c r="C27" s="115" t="s">
        <v>12</v>
      </c>
      <c r="D27" s="115">
        <v>0.253</v>
      </c>
      <c r="E27" s="115">
        <v>0.11</v>
      </c>
      <c r="F27" s="115">
        <v>8.3000000000000004E-2</v>
      </c>
      <c r="G27" s="117">
        <v>0.18</v>
      </c>
      <c r="H27" s="115">
        <v>0.189</v>
      </c>
      <c r="I27" s="115">
        <v>0.19800000000000001</v>
      </c>
      <c r="J27" s="115">
        <v>0.20699999999999999</v>
      </c>
      <c r="K27" s="116">
        <v>0.216</v>
      </c>
      <c r="L27" s="7"/>
      <c r="M27" s="7"/>
      <c r="N27" s="57" t="s">
        <v>72</v>
      </c>
      <c r="O27" s="65">
        <v>1029</v>
      </c>
      <c r="P27" s="7"/>
      <c r="Q27" s="7"/>
      <c r="R27" s="57" t="s">
        <v>67</v>
      </c>
      <c r="S27" s="9"/>
      <c r="T27" s="9"/>
      <c r="U27" s="9"/>
      <c r="V27" s="81">
        <f>SUM(V24:V26)</f>
        <v>268.04159017087977</v>
      </c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</row>
    <row r="28" spans="2:48" ht="15.6" x14ac:dyDescent="0.3">
      <c r="B28" s="57" t="s">
        <v>18</v>
      </c>
      <c r="C28" s="118">
        <f>-3.5%</f>
        <v>-3.5000000000000003E-2</v>
      </c>
      <c r="D28" s="115">
        <v>2.3E-2</v>
      </c>
      <c r="E28" s="115">
        <v>0.10299999999999999</v>
      </c>
      <c r="F28" s="115">
        <v>0.154</v>
      </c>
      <c r="G28" s="117">
        <v>9.5000000000000001E-2</v>
      </c>
      <c r="H28" s="115">
        <v>0.109</v>
      </c>
      <c r="I28" s="115">
        <v>0.128</v>
      </c>
      <c r="J28" s="115">
        <v>0.126</v>
      </c>
      <c r="K28" s="116">
        <v>0.13</v>
      </c>
      <c r="L28" s="7"/>
      <c r="M28" s="7"/>
      <c r="N28" s="57" t="s">
        <v>73</v>
      </c>
      <c r="O28" s="67">
        <v>26077</v>
      </c>
      <c r="P28" s="7"/>
      <c r="Q28" s="7"/>
      <c r="R28" s="57"/>
      <c r="S28" s="9"/>
      <c r="T28" s="9"/>
      <c r="U28" s="9"/>
      <c r="V28" s="75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</row>
    <row r="29" spans="2:48" ht="16.2" thickBot="1" x14ac:dyDescent="0.35">
      <c r="B29" s="57" t="s">
        <v>25</v>
      </c>
      <c r="C29" s="115">
        <v>5.8000000000000003E-2</v>
      </c>
      <c r="D29" s="115">
        <v>0.10199999999999999</v>
      </c>
      <c r="E29" s="115">
        <v>0.121</v>
      </c>
      <c r="F29" s="115">
        <v>8.7999999999999995E-2</v>
      </c>
      <c r="G29" s="117">
        <v>8.7999999999999995E-2</v>
      </c>
      <c r="H29" s="115">
        <v>7.4999999999999997E-2</v>
      </c>
      <c r="I29" s="115">
        <v>6.6000000000000003E-2</v>
      </c>
      <c r="J29" s="115">
        <v>7.1999999999999995E-2</v>
      </c>
      <c r="K29" s="116">
        <v>5.0999999999999997E-2</v>
      </c>
      <c r="L29" s="7"/>
      <c r="M29" s="7"/>
      <c r="N29" s="4"/>
      <c r="O29" s="5"/>
      <c r="P29" s="7"/>
      <c r="Q29" s="7"/>
      <c r="R29" s="57"/>
      <c r="S29" s="9"/>
      <c r="T29" s="9"/>
      <c r="U29" s="9"/>
      <c r="V29" s="75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</row>
    <row r="30" spans="2:48" ht="15.6" x14ac:dyDescent="0.3">
      <c r="B30" s="57" t="s">
        <v>26</v>
      </c>
      <c r="C30" s="115">
        <v>8.3000000000000004E-2</v>
      </c>
      <c r="D30" s="115">
        <v>7.8E-2</v>
      </c>
      <c r="E30" s="115">
        <v>7.2999999999999995E-2</v>
      </c>
      <c r="F30" s="115">
        <v>7.8E-2</v>
      </c>
      <c r="G30" s="117">
        <v>0.08</v>
      </c>
      <c r="H30" s="115">
        <v>0.08</v>
      </c>
      <c r="I30" s="115">
        <v>0.08</v>
      </c>
      <c r="J30" s="115">
        <v>0.08</v>
      </c>
      <c r="K30" s="116">
        <v>0.08</v>
      </c>
      <c r="L30" s="7"/>
      <c r="M30" s="7"/>
      <c r="N30" s="53" t="s">
        <v>74</v>
      </c>
      <c r="O30" s="54">
        <f>O24-O25-O26-O27+O28</f>
        <v>255034.24128344003</v>
      </c>
      <c r="P30" s="7"/>
      <c r="Q30" s="7"/>
      <c r="R30" s="57"/>
      <c r="S30" s="9"/>
      <c r="T30" s="9"/>
      <c r="U30" s="9"/>
      <c r="V30" s="76" t="s">
        <v>90</v>
      </c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</row>
    <row r="31" spans="2:48" ht="16.2" thickBot="1" x14ac:dyDescent="0.35">
      <c r="B31" s="83" t="s">
        <v>27</v>
      </c>
      <c r="C31" s="119" t="s">
        <v>12</v>
      </c>
      <c r="D31" s="120">
        <v>0.24099999999999999</v>
      </c>
      <c r="E31" s="119" t="s">
        <v>12</v>
      </c>
      <c r="F31" s="120">
        <v>8.5999999999999993E-2</v>
      </c>
      <c r="G31" s="121">
        <v>0.1</v>
      </c>
      <c r="H31" s="122">
        <v>0.1</v>
      </c>
      <c r="I31" s="122">
        <v>0.1</v>
      </c>
      <c r="J31" s="122">
        <v>0.1</v>
      </c>
      <c r="K31" s="123">
        <v>0.1</v>
      </c>
      <c r="L31" s="7"/>
      <c r="M31" s="7"/>
      <c r="N31" s="55" t="s">
        <v>75</v>
      </c>
      <c r="O31" s="56">
        <f>O30/R16</f>
        <v>72.125015660349774</v>
      </c>
      <c r="P31" s="7"/>
      <c r="Q31" s="7"/>
      <c r="R31" s="77" t="s">
        <v>87</v>
      </c>
      <c r="S31" s="9" t="s">
        <v>88</v>
      </c>
      <c r="T31" s="9" t="s">
        <v>89</v>
      </c>
      <c r="U31" s="9"/>
      <c r="V31" s="76" t="s">
        <v>91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</row>
    <row r="32" spans="2:48" ht="15.6" x14ac:dyDescent="0.3">
      <c r="B32" s="4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57" t="s">
        <v>83</v>
      </c>
      <c r="S32" s="82">
        <v>1840</v>
      </c>
      <c r="T32" s="164">
        <v>20.66</v>
      </c>
      <c r="U32" s="164"/>
      <c r="V32" s="79">
        <f>S32/T32</f>
        <v>89.060987415295259</v>
      </c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</row>
    <row r="33" spans="2:48" ht="16.2" thickBot="1" x14ac:dyDescent="0.35">
      <c r="B33" s="4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57" t="s">
        <v>84</v>
      </c>
      <c r="S33" s="78"/>
      <c r="T33" s="164"/>
      <c r="U33" s="164"/>
      <c r="V33" s="75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</row>
    <row r="34" spans="2:48" ht="18.600000000000001" thickBot="1" x14ac:dyDescent="0.4">
      <c r="B34" s="127" t="s">
        <v>29</v>
      </c>
      <c r="C34" s="128"/>
      <c r="D34" s="128"/>
      <c r="E34" s="128"/>
      <c r="F34" s="129"/>
      <c r="G34" s="128"/>
      <c r="H34" s="128"/>
      <c r="I34" s="128"/>
      <c r="J34" s="128"/>
      <c r="K34" s="129"/>
      <c r="L34" s="7"/>
      <c r="M34" s="7"/>
      <c r="N34" s="7"/>
      <c r="O34" s="7"/>
      <c r="P34" s="7"/>
      <c r="Q34" s="7"/>
      <c r="R34" s="57" t="s">
        <v>85</v>
      </c>
      <c r="S34" s="78"/>
      <c r="T34" s="164"/>
      <c r="U34" s="164"/>
      <c r="V34" s="80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</row>
    <row r="35" spans="2:48" ht="18" x14ac:dyDescent="0.35">
      <c r="B35" s="48" t="s">
        <v>41</v>
      </c>
      <c r="C35" s="49">
        <v>2019</v>
      </c>
      <c r="D35" s="49">
        <v>2020</v>
      </c>
      <c r="E35" s="49">
        <v>2021</v>
      </c>
      <c r="F35" s="50">
        <v>2022</v>
      </c>
      <c r="G35" s="49">
        <v>2023</v>
      </c>
      <c r="H35" s="49">
        <v>2024</v>
      </c>
      <c r="I35" s="49">
        <v>2025</v>
      </c>
      <c r="J35" s="49">
        <v>2026</v>
      </c>
      <c r="K35" s="50">
        <v>2027</v>
      </c>
      <c r="L35" s="7"/>
      <c r="M35" s="7"/>
      <c r="N35" s="7"/>
      <c r="O35" s="7"/>
      <c r="P35" s="7"/>
      <c r="Q35" s="7"/>
      <c r="R35" s="57" t="s">
        <v>67</v>
      </c>
      <c r="S35" s="9"/>
      <c r="T35" s="9"/>
      <c r="U35" s="9"/>
      <c r="V35" s="81">
        <f>SUM(V32:V34)</f>
        <v>89.060987415295259</v>
      </c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</row>
    <row r="36" spans="2:48" ht="16.2" thickBot="1" x14ac:dyDescent="0.35">
      <c r="B36" s="125" t="s">
        <v>6</v>
      </c>
      <c r="C36" s="89">
        <f>C8</f>
        <v>24578</v>
      </c>
      <c r="D36" s="89">
        <f>D8</f>
        <v>31536</v>
      </c>
      <c r="E36" s="89">
        <f>E8</f>
        <v>53823</v>
      </c>
      <c r="F36" s="90">
        <f>F8</f>
        <v>81462</v>
      </c>
      <c r="G36" s="89">
        <f>G8*R7</f>
        <v>18117.375083333336</v>
      </c>
      <c r="H36" s="89">
        <f>H8</f>
        <v>120028.96197000002</v>
      </c>
      <c r="I36" s="89">
        <f>I8</f>
        <v>149436.05765265002</v>
      </c>
      <c r="J36" s="89">
        <f>J8</f>
        <v>170357.10572402104</v>
      </c>
      <c r="K36" s="90">
        <f>K8</f>
        <v>187392.81629642315</v>
      </c>
      <c r="L36" s="17"/>
      <c r="M36" s="7"/>
      <c r="N36" s="7"/>
      <c r="O36" s="7"/>
      <c r="P36" s="7"/>
      <c r="Q36" s="7"/>
      <c r="R36" s="83"/>
      <c r="S36" s="74"/>
      <c r="T36" s="74"/>
      <c r="U36" s="74"/>
      <c r="V36" s="84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</row>
    <row r="37" spans="2:48" ht="15.6" x14ac:dyDescent="0.3">
      <c r="B37" s="57" t="s">
        <v>20</v>
      </c>
      <c r="C37" s="85">
        <v>80</v>
      </c>
      <c r="D37" s="85">
        <v>1951</v>
      </c>
      <c r="E37" s="85">
        <v>6523</v>
      </c>
      <c r="F37" s="86">
        <v>13692</v>
      </c>
      <c r="G37" s="85">
        <f>G11*R7</f>
        <v>2047.2633844166669</v>
      </c>
      <c r="H37" s="85">
        <f>H11</f>
        <v>14883.591284280003</v>
      </c>
      <c r="I37" s="85">
        <f>I11</f>
        <v>25852.437973908451</v>
      </c>
      <c r="J37" s="85">
        <f>J11</f>
        <v>32027.135876115954</v>
      </c>
      <c r="K37" s="86">
        <f>K11</f>
        <v>36166.813545209669</v>
      </c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</row>
    <row r="38" spans="2:48" ht="16.2" thickBot="1" x14ac:dyDescent="0.35">
      <c r="B38" s="57" t="s">
        <v>30</v>
      </c>
      <c r="C38" s="87"/>
      <c r="D38" s="87">
        <f t="shared" ref="D38:K38" si="1">D37*-D27</f>
        <v>-493.60300000000001</v>
      </c>
      <c r="E38" s="87">
        <f t="shared" si="1"/>
        <v>-717.53</v>
      </c>
      <c r="F38" s="88">
        <f t="shared" si="1"/>
        <v>-1136.4360000000001</v>
      </c>
      <c r="G38" s="87">
        <f t="shared" si="1"/>
        <v>-368.50740919500004</v>
      </c>
      <c r="H38" s="87">
        <f>H37*-H27</f>
        <v>-2812.9987527289204</v>
      </c>
      <c r="I38" s="87">
        <f t="shared" si="1"/>
        <v>-5118.7827188338733</v>
      </c>
      <c r="J38" s="87">
        <f t="shared" si="1"/>
        <v>-6629.6171263560018</v>
      </c>
      <c r="K38" s="88">
        <f t="shared" si="1"/>
        <v>-7812.0317257652887</v>
      </c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</row>
    <row r="39" spans="2:48" ht="15.6" x14ac:dyDescent="0.3">
      <c r="B39" s="125" t="s">
        <v>31</v>
      </c>
      <c r="C39" s="89">
        <f>SUM(C37:C38)</f>
        <v>80</v>
      </c>
      <c r="D39" s="89">
        <f>SUM(D37:D38)</f>
        <v>1457.3969999999999</v>
      </c>
      <c r="E39" s="89">
        <f>SUM(E37:E38)</f>
        <v>5805.47</v>
      </c>
      <c r="F39" s="90">
        <f>SUM(F37:F38)</f>
        <v>12555.564</v>
      </c>
      <c r="G39" s="89">
        <f>G37+G38</f>
        <v>1678.7559752216669</v>
      </c>
      <c r="H39" s="89">
        <f>H37+H38</f>
        <v>12070.592531551083</v>
      </c>
      <c r="I39" s="89">
        <f t="shared" ref="I39:K39" si="2">I37+I38</f>
        <v>20733.655255074576</v>
      </c>
      <c r="J39" s="89">
        <f t="shared" si="2"/>
        <v>25397.518749759951</v>
      </c>
      <c r="K39" s="90">
        <f t="shared" si="2"/>
        <v>28354.781819444379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</row>
    <row r="40" spans="2:48" ht="15.6" x14ac:dyDescent="0.3">
      <c r="B40" s="57" t="s">
        <v>32</v>
      </c>
      <c r="C40" s="85">
        <f>-C15</f>
        <v>-1432</v>
      </c>
      <c r="D40" s="85">
        <f>-D15</f>
        <v>-3232</v>
      </c>
      <c r="E40" s="85">
        <f>-E15</f>
        <v>-6514</v>
      </c>
      <c r="F40" s="86">
        <f>-F15</f>
        <v>-7163</v>
      </c>
      <c r="G40" s="85">
        <f>-G15*R7</f>
        <v>-1594.3290073333335</v>
      </c>
      <c r="H40" s="85">
        <f t="shared" ref="H40:K41" si="3">-H15</f>
        <v>-9002.1721477500014</v>
      </c>
      <c r="I40" s="85">
        <f t="shared" si="3"/>
        <v>-9862.7798050749025</v>
      </c>
      <c r="J40" s="85">
        <f t="shared" si="3"/>
        <v>-12265.711612129513</v>
      </c>
      <c r="K40" s="86">
        <f t="shared" si="3"/>
        <v>-9557.0336311175797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</row>
    <row r="41" spans="2:48" ht="15.6" x14ac:dyDescent="0.3">
      <c r="B41" s="57" t="s">
        <v>33</v>
      </c>
      <c r="C41" s="91" t="str">
        <f>C16</f>
        <v>N/A</v>
      </c>
      <c r="D41" s="85">
        <f>-D16</f>
        <v>-1678</v>
      </c>
      <c r="E41" s="85">
        <f>-E16</f>
        <v>-3858</v>
      </c>
      <c r="F41" s="86">
        <f>-F16</f>
        <v>-2365</v>
      </c>
      <c r="G41" s="85">
        <f>-G16*R7</f>
        <v>-295.63917500000025</v>
      </c>
      <c r="H41" s="85">
        <f t="shared" si="3"/>
        <v>-2268.1871970000007</v>
      </c>
      <c r="I41" s="85">
        <f t="shared" si="3"/>
        <v>-2940.7095682650006</v>
      </c>
      <c r="J41" s="85">
        <f t="shared" si="3"/>
        <v>-2092.1048071371015</v>
      </c>
      <c r="K41" s="86">
        <f t="shared" si="3"/>
        <v>-1703.5710572402111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</row>
    <row r="42" spans="2:48" ht="16.2" thickBot="1" x14ac:dyDescent="0.35">
      <c r="B42" s="57" t="s">
        <v>34</v>
      </c>
      <c r="C42" s="87">
        <f>C12</f>
        <v>2092</v>
      </c>
      <c r="D42" s="87">
        <f>D12</f>
        <v>2322</v>
      </c>
      <c r="E42" s="87">
        <f>E12</f>
        <v>2911</v>
      </c>
      <c r="F42" s="88">
        <f>F12</f>
        <v>3747</v>
      </c>
      <c r="G42" s="87">
        <f>G12*R7</f>
        <v>844.20809836444437</v>
      </c>
      <c r="H42" s="87">
        <f>H12</f>
        <v>5256.2172854199998</v>
      </c>
      <c r="I42" s="87">
        <f>I12</f>
        <v>6045.2396698259909</v>
      </c>
      <c r="J42" s="87">
        <f>J12</f>
        <v>7026.4965987963524</v>
      </c>
      <c r="K42" s="88">
        <f>K12</f>
        <v>7791.0592892857585</v>
      </c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</row>
    <row r="43" spans="2:48" ht="16.2" thickBot="1" x14ac:dyDescent="0.35">
      <c r="B43" s="126" t="s">
        <v>35</v>
      </c>
      <c r="C43" s="92">
        <f>SUM(C40:C42)</f>
        <v>660</v>
      </c>
      <c r="D43" s="92">
        <f t="shared" ref="D43:E43" si="4">SUM(D40:D42)</f>
        <v>-2588</v>
      </c>
      <c r="E43" s="92">
        <f t="shared" si="4"/>
        <v>-7461</v>
      </c>
      <c r="F43" s="93">
        <f>SUM(F40:F42)</f>
        <v>-5781</v>
      </c>
      <c r="G43" s="92">
        <f>SUM(G40:G42)</f>
        <v>-1045.7600839688894</v>
      </c>
      <c r="H43" s="92">
        <f>SUM(H40:H42)</f>
        <v>-6014.1420593300027</v>
      </c>
      <c r="I43" s="92">
        <f t="shared" ref="I43:K43" si="5">SUM(I40:I42)</f>
        <v>-6758.2497035139131</v>
      </c>
      <c r="J43" s="92">
        <f t="shared" si="5"/>
        <v>-7331.319820470263</v>
      </c>
      <c r="K43" s="93">
        <f t="shared" si="5"/>
        <v>-3469.5453990720325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</row>
    <row r="44" spans="2:48" ht="15.6" x14ac:dyDescent="0.3">
      <c r="B44" s="57"/>
      <c r="C44" s="85"/>
      <c r="D44" s="85"/>
      <c r="E44" s="85"/>
      <c r="F44" s="86"/>
      <c r="G44" s="85"/>
      <c r="H44" s="85"/>
      <c r="I44" s="85"/>
      <c r="J44" s="85"/>
      <c r="K44" s="86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</row>
    <row r="45" spans="2:48" ht="16.2" thickBot="1" x14ac:dyDescent="0.35">
      <c r="B45" s="57"/>
      <c r="C45" s="85"/>
      <c r="D45" s="85"/>
      <c r="E45" s="85"/>
      <c r="F45" s="86"/>
      <c r="G45" s="85"/>
      <c r="H45" s="85"/>
      <c r="I45" s="85"/>
      <c r="J45" s="85"/>
      <c r="K45" s="86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</row>
    <row r="46" spans="2:48" ht="16.2" thickBot="1" x14ac:dyDescent="0.35">
      <c r="B46" s="51" t="s">
        <v>52</v>
      </c>
      <c r="C46" s="94">
        <f t="shared" ref="C46:K46" si="6">C39+C43</f>
        <v>740</v>
      </c>
      <c r="D46" s="94">
        <f t="shared" si="6"/>
        <v>-1130.6030000000001</v>
      </c>
      <c r="E46" s="94">
        <f t="shared" si="6"/>
        <v>-1655.5299999999997</v>
      </c>
      <c r="F46" s="95">
        <f t="shared" si="6"/>
        <v>6774.5640000000003</v>
      </c>
      <c r="G46" s="96">
        <f t="shared" si="6"/>
        <v>632.99589125277748</v>
      </c>
      <c r="H46" s="96">
        <f t="shared" si="6"/>
        <v>6056.4504722210804</v>
      </c>
      <c r="I46" s="97">
        <f t="shared" si="6"/>
        <v>13975.405551560663</v>
      </c>
      <c r="J46" s="96">
        <f t="shared" si="6"/>
        <v>18066.198929289687</v>
      </c>
      <c r="K46" s="98">
        <f t="shared" si="6"/>
        <v>24885.236420372348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</row>
    <row r="47" spans="2:48" ht="15.6" x14ac:dyDescent="0.3">
      <c r="B47" s="57" t="s">
        <v>53</v>
      </c>
      <c r="C47" s="9"/>
      <c r="D47" s="9"/>
      <c r="E47" s="9"/>
      <c r="F47" s="75"/>
      <c r="G47" s="99">
        <f>R7</f>
        <v>0.18611111111111112</v>
      </c>
      <c r="H47" s="99">
        <f>G47+1</f>
        <v>1.1861111111111111</v>
      </c>
      <c r="I47" s="99">
        <f t="shared" ref="I47:K47" si="7">H47+1</f>
        <v>2.1861111111111109</v>
      </c>
      <c r="J47" s="99">
        <f t="shared" si="7"/>
        <v>3.1861111111111109</v>
      </c>
      <c r="K47" s="100">
        <f t="shared" si="7"/>
        <v>4.1861111111111109</v>
      </c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</row>
    <row r="48" spans="2:48" ht="16.2" thickBot="1" x14ac:dyDescent="0.35">
      <c r="B48" s="57" t="s">
        <v>54</v>
      </c>
      <c r="C48" s="9"/>
      <c r="D48" s="9"/>
      <c r="E48" s="9"/>
      <c r="F48" s="75"/>
      <c r="G48" s="101">
        <f>13.9%</f>
        <v>0.13900000000000001</v>
      </c>
      <c r="H48" s="102">
        <f t="shared" ref="H48:K48" si="8">13.9%</f>
        <v>0.13900000000000001</v>
      </c>
      <c r="I48" s="102">
        <f t="shared" si="8"/>
        <v>0.13900000000000001</v>
      </c>
      <c r="J48" s="102">
        <f t="shared" si="8"/>
        <v>0.13900000000000001</v>
      </c>
      <c r="K48" s="103">
        <f t="shared" si="8"/>
        <v>0.13900000000000001</v>
      </c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</row>
    <row r="49" spans="2:48" ht="16.2" thickBot="1" x14ac:dyDescent="0.35">
      <c r="B49" s="52" t="s">
        <v>55</v>
      </c>
      <c r="C49" s="104"/>
      <c r="D49" s="104"/>
      <c r="E49" s="104"/>
      <c r="F49" s="105"/>
      <c r="G49" s="106">
        <f>G46/(1+G48)^G47</f>
        <v>617.84736374060969</v>
      </c>
      <c r="H49" s="106">
        <f t="shared" ref="H49:K49" si="9">H46/(1+H48)^H47</f>
        <v>5190.0883743956047</v>
      </c>
      <c r="I49" s="106">
        <f t="shared" si="9"/>
        <v>10514.709493777726</v>
      </c>
      <c r="J49" s="106">
        <f t="shared" si="9"/>
        <v>11933.722166908405</v>
      </c>
      <c r="K49" s="107">
        <f t="shared" si="9"/>
        <v>14432.021981461632</v>
      </c>
      <c r="L49" s="1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</row>
    <row r="50" spans="2:48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</row>
    <row r="51" spans="2:48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</row>
    <row r="52" spans="2:48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</row>
    <row r="53" spans="2:48" ht="18.600000000000001" thickBot="1" x14ac:dyDescent="0.4">
      <c r="B53" s="124" t="s">
        <v>92</v>
      </c>
      <c r="C53" s="7"/>
      <c r="D53" s="7"/>
      <c r="E53" s="168" t="s">
        <v>93</v>
      </c>
      <c r="F53" s="168"/>
      <c r="G53" s="168"/>
      <c r="H53" s="168"/>
      <c r="I53" s="168"/>
      <c r="J53" s="168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</row>
    <row r="54" spans="2:48" ht="15.6" customHeight="1" thickBot="1" x14ac:dyDescent="0.35">
      <c r="B54" s="7"/>
      <c r="C54" s="7"/>
      <c r="D54" s="165" t="s">
        <v>54</v>
      </c>
      <c r="E54" s="24">
        <f>O31</f>
        <v>72.125015660349774</v>
      </c>
      <c r="F54" s="160">
        <f>G54-$R$12</f>
        <v>3.9999999999999994E-2</v>
      </c>
      <c r="G54" s="160">
        <f>H54-$R$12</f>
        <v>4.9999999999999996E-2</v>
      </c>
      <c r="H54" s="161">
        <v>0.06</v>
      </c>
      <c r="I54" s="160">
        <f>H54+$R$12</f>
        <v>6.9999999999999993E-2</v>
      </c>
      <c r="J54" s="162">
        <f>I54+$R$12</f>
        <v>7.9999999999999988E-2</v>
      </c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</row>
    <row r="55" spans="2:48" ht="15.6" x14ac:dyDescent="0.3">
      <c r="B55" s="7"/>
      <c r="C55" s="7"/>
      <c r="D55" s="165"/>
      <c r="E55" s="28">
        <f>E56-$R$13</f>
        <v>0.11900000000000001</v>
      </c>
      <c r="F55" s="29">
        <f t="dataTable" ref="F55:J59" dt2D="1" dtr="1" r1="R11" r2="G48"/>
        <v>75.228325446251688</v>
      </c>
      <c r="G55" s="30">
        <v>84.251823622373905</v>
      </c>
      <c r="H55" s="31">
        <v>96.334134739554472</v>
      </c>
      <c r="I55" s="30">
        <v>113.34800141476796</v>
      </c>
      <c r="J55" s="32">
        <v>139.08692792342421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</row>
    <row r="56" spans="2:48" ht="16.2" thickBot="1" x14ac:dyDescent="0.35">
      <c r="B56" s="7"/>
      <c r="C56" s="7"/>
      <c r="D56" s="165"/>
      <c r="E56" s="28">
        <f>E57-$R$13</f>
        <v>0.129</v>
      </c>
      <c r="F56" s="33">
        <v>66.848379804756647</v>
      </c>
      <c r="G56" s="34">
        <v>73.64860580473308</v>
      </c>
      <c r="H56" s="35">
        <v>82.41991180470265</v>
      </c>
      <c r="I56" s="34">
        <v>94.164541872458557</v>
      </c>
      <c r="J56" s="36">
        <v>110.70289849848214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</row>
    <row r="57" spans="2:48" ht="16.2" thickBot="1" x14ac:dyDescent="0.35">
      <c r="B57" s="7"/>
      <c r="C57" s="7"/>
      <c r="D57" s="165"/>
      <c r="E57" s="23">
        <v>0.13900000000000001</v>
      </c>
      <c r="F57" s="37">
        <v>60.237091040510286</v>
      </c>
      <c r="G57" s="38">
        <v>65.513192416731187</v>
      </c>
      <c r="H57" s="39">
        <v>72.125015660349774</v>
      </c>
      <c r="I57" s="38">
        <v>80.653309409365036</v>
      </c>
      <c r="J57" s="40">
        <v>92.072550191944799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</row>
    <row r="58" spans="2:48" ht="15.6" x14ac:dyDescent="0.3">
      <c r="B58" s="7"/>
      <c r="C58" s="7"/>
      <c r="D58" s="165"/>
      <c r="E58" s="28">
        <f>E57+$R$13</f>
        <v>0.14900000000000002</v>
      </c>
      <c r="F58" s="33">
        <v>54.904018533867578</v>
      </c>
      <c r="G58" s="34">
        <v>59.093701798168986</v>
      </c>
      <c r="H58" s="35">
        <v>64.224886919616793</v>
      </c>
      <c r="I58" s="34">
        <v>70.655106249026048</v>
      </c>
      <c r="J58" s="36">
        <v>78.949157268119151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</row>
    <row r="59" spans="2:48" ht="16.2" thickBot="1" x14ac:dyDescent="0.35">
      <c r="B59" s="7"/>
      <c r="C59" s="7"/>
      <c r="D59" s="165"/>
      <c r="E59" s="28">
        <f>E58+$R$13</f>
        <v>0.15900000000000003</v>
      </c>
      <c r="F59" s="41">
        <v>50.523780371106234</v>
      </c>
      <c r="G59" s="42">
        <v>53.914397810626468</v>
      </c>
      <c r="H59" s="43">
        <v>57.989988470251795</v>
      </c>
      <c r="I59" s="42">
        <v>62.981442199455849</v>
      </c>
      <c r="J59" s="44">
        <v>69.236555100610303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</row>
    <row r="60" spans="2:48" x14ac:dyDescent="0.3">
      <c r="B60" s="7"/>
      <c r="C60" s="7"/>
      <c r="D60" s="18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</row>
    <row r="61" spans="2:48" x14ac:dyDescent="0.3">
      <c r="B61" s="7"/>
      <c r="C61" s="7"/>
      <c r="D61" s="18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</row>
    <row r="62" spans="2:48" x14ac:dyDescent="0.3">
      <c r="B62" s="7"/>
      <c r="C62" s="7"/>
      <c r="D62" s="7"/>
      <c r="E62" s="7"/>
      <c r="F62" s="7"/>
      <c r="G62" s="159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</row>
    <row r="63" spans="2:48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</row>
    <row r="64" spans="2:48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</row>
    <row r="65" spans="2:48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</row>
    <row r="66" spans="2:48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</row>
    <row r="67" spans="2:48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</row>
    <row r="68" spans="2:48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</row>
    <row r="69" spans="2:48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</row>
    <row r="70" spans="2:48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</row>
    <row r="71" spans="2:48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</row>
    <row r="72" spans="2:48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</row>
    <row r="73" spans="2:48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</row>
    <row r="74" spans="2:48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</row>
    <row r="75" spans="2:48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</row>
    <row r="76" spans="2:48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</row>
    <row r="77" spans="2:48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</row>
    <row r="78" spans="2:48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</row>
    <row r="79" spans="2:48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</row>
    <row r="80" spans="2:48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</row>
    <row r="81" spans="2:48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</row>
    <row r="82" spans="2:48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</row>
    <row r="83" spans="2:48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</row>
    <row r="84" spans="2:48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</row>
    <row r="85" spans="2:48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</row>
    <row r="86" spans="2:48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</row>
    <row r="87" spans="2:48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</row>
    <row r="88" spans="2:48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</row>
    <row r="89" spans="2:48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</row>
    <row r="90" spans="2:48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</row>
    <row r="91" spans="2:48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</row>
    <row r="92" spans="2:48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</row>
    <row r="93" spans="2:48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</row>
    <row r="94" spans="2:48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</row>
    <row r="95" spans="2:48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</row>
    <row r="96" spans="2:48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</row>
    <row r="97" spans="2:48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</row>
    <row r="98" spans="2:48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</row>
    <row r="99" spans="2:48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</row>
    <row r="100" spans="2:48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</row>
    <row r="101" spans="2:48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</row>
    <row r="102" spans="2:48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</row>
    <row r="103" spans="2:48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</row>
    <row r="104" spans="2:48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</row>
    <row r="105" spans="2:48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</row>
    <row r="106" spans="2:48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</row>
    <row r="107" spans="2:48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</row>
    <row r="108" spans="2:48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</row>
    <row r="109" spans="2:48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</row>
    <row r="110" spans="2:48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</row>
    <row r="111" spans="2:48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</row>
  </sheetData>
  <mergeCells count="9">
    <mergeCell ref="C5:F5"/>
    <mergeCell ref="T34:U34"/>
    <mergeCell ref="D54:D59"/>
    <mergeCell ref="T26:U26"/>
    <mergeCell ref="T25:U25"/>
    <mergeCell ref="T24:U24"/>
    <mergeCell ref="T32:U32"/>
    <mergeCell ref="T33:U33"/>
    <mergeCell ref="E53:J53"/>
  </mergeCells>
  <pageMargins left="0.7" right="0.7" top="0.75" bottom="0.75" header="0.3" footer="0.3"/>
  <pageSetup orientation="portrait" r:id="rId1"/>
  <ignoredErrors>
    <ignoredError sqref="G40 G36 G41:G4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3DC9F-30A2-463C-986B-BAD706436EA8}">
  <dimension ref="A1:CU211"/>
  <sheetViews>
    <sheetView zoomScale="117" workbookViewId="0">
      <selection activeCell="D13" sqref="D13"/>
    </sheetView>
  </sheetViews>
  <sheetFormatPr defaultRowHeight="14.4" x14ac:dyDescent="0.3"/>
  <cols>
    <col min="1" max="1" width="29.6640625" customWidth="1"/>
    <col min="2" max="2" width="16.21875" customWidth="1"/>
  </cols>
  <sheetData>
    <row r="1" spans="1:99" ht="15" thickBot="1" x14ac:dyDescent="0.3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</row>
    <row r="2" spans="1:99" ht="18" x14ac:dyDescent="0.35">
      <c r="A2" s="20" t="s">
        <v>43</v>
      </c>
      <c r="B2" s="2"/>
      <c r="C2" s="2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</row>
    <row r="3" spans="1:99" s="7" customFormat="1" ht="15" thickBot="1" x14ac:dyDescent="0.35">
      <c r="A3" s="27"/>
      <c r="B3" s="25"/>
      <c r="C3" s="26"/>
    </row>
    <row r="4" spans="1:99" ht="15.6" x14ac:dyDescent="0.3">
      <c r="A4" s="135" t="s">
        <v>102</v>
      </c>
      <c r="B4" s="136">
        <v>4.4999999999999998E-2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</row>
    <row r="5" spans="1:99" ht="15.6" x14ac:dyDescent="0.3">
      <c r="A5" s="57" t="s">
        <v>36</v>
      </c>
      <c r="B5" s="137">
        <v>1.71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</row>
    <row r="6" spans="1:99" ht="15.6" x14ac:dyDescent="0.3">
      <c r="A6" s="57" t="s">
        <v>37</v>
      </c>
      <c r="B6" s="138">
        <v>4.9500000000000002E-2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</row>
    <row r="7" spans="1:99" ht="16.2" thickBot="1" x14ac:dyDescent="0.35">
      <c r="A7" s="83" t="s">
        <v>50</v>
      </c>
      <c r="B7" s="139">
        <v>5.2999999999999999E-2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</row>
    <row r="8" spans="1:99" ht="16.2" thickBot="1" x14ac:dyDescent="0.35">
      <c r="A8" s="57"/>
      <c r="B8" s="140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</row>
    <row r="9" spans="1:99" ht="15.6" x14ac:dyDescent="0.3">
      <c r="A9" s="135" t="s">
        <v>44</v>
      </c>
      <c r="B9" s="141">
        <v>212.43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</row>
    <row r="10" spans="1:99" ht="16.2" thickBot="1" x14ac:dyDescent="0.35">
      <c r="A10" s="83" t="s">
        <v>45</v>
      </c>
      <c r="B10" s="142">
        <v>3178.9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</row>
    <row r="11" spans="1:99" ht="16.2" thickBot="1" x14ac:dyDescent="0.35">
      <c r="A11" s="57"/>
      <c r="B11" s="75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</row>
    <row r="12" spans="1:99" ht="16.2" thickBot="1" x14ac:dyDescent="0.35">
      <c r="A12" s="155" t="s">
        <v>97</v>
      </c>
      <c r="B12" s="143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</row>
    <row r="13" spans="1:99" ht="15.6" x14ac:dyDescent="0.3">
      <c r="A13" s="57" t="s">
        <v>38</v>
      </c>
      <c r="B13" s="144">
        <v>8187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</row>
    <row r="14" spans="1:99" ht="15.6" x14ac:dyDescent="0.3">
      <c r="A14" s="57" t="s">
        <v>39</v>
      </c>
      <c r="B14" s="145">
        <f>B10*B9</f>
        <v>675293.72700000007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</row>
    <row r="15" spans="1:99" ht="16.2" thickBot="1" x14ac:dyDescent="0.35">
      <c r="A15" s="57" t="s">
        <v>100</v>
      </c>
      <c r="B15" s="146"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</row>
    <row r="16" spans="1:99" ht="16.2" thickBot="1" x14ac:dyDescent="0.35">
      <c r="A16" s="156" t="s">
        <v>46</v>
      </c>
      <c r="B16" s="147">
        <f>B13+B14+B15</f>
        <v>683480.72700000007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</row>
    <row r="17" spans="1:99" ht="16.2" thickBot="1" x14ac:dyDescent="0.35">
      <c r="A17" s="57"/>
      <c r="B17" s="75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</row>
    <row r="18" spans="1:99" ht="16.2" thickBot="1" x14ac:dyDescent="0.35">
      <c r="A18" s="155" t="s">
        <v>98</v>
      </c>
      <c r="B18" s="143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</row>
    <row r="19" spans="1:99" ht="15.6" x14ac:dyDescent="0.3">
      <c r="A19" s="57" t="s">
        <v>47</v>
      </c>
      <c r="B19" s="148">
        <f>B13/B16</f>
        <v>1.1978391893997032E-2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</row>
    <row r="20" spans="1:99" ht="16.2" thickBot="1" x14ac:dyDescent="0.35">
      <c r="A20" s="83" t="s">
        <v>48</v>
      </c>
      <c r="B20" s="149">
        <f>B14/B16</f>
        <v>0.98802160810600292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</row>
    <row r="21" spans="1:99" ht="15.6" x14ac:dyDescent="0.3">
      <c r="A21" s="57"/>
      <c r="B21" s="75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</row>
    <row r="22" spans="1:99" ht="16.2" thickBot="1" x14ac:dyDescent="0.35">
      <c r="A22" s="57"/>
      <c r="B22" s="75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</row>
    <row r="23" spans="1:99" ht="16.2" thickBot="1" x14ac:dyDescent="0.35">
      <c r="A23" s="155" t="s">
        <v>99</v>
      </c>
      <c r="B23" s="150" t="s">
        <v>101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</row>
    <row r="24" spans="1:99" ht="15.6" x14ac:dyDescent="0.3">
      <c r="A24" s="57" t="s">
        <v>40</v>
      </c>
      <c r="B24" s="148">
        <f>B4*B19</f>
        <v>5.390276352298664E-4</v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</row>
    <row r="25" spans="1:99" ht="16.2" thickBot="1" x14ac:dyDescent="0.35">
      <c r="A25" s="83" t="s">
        <v>49</v>
      </c>
      <c r="B25" s="139">
        <f>(B6+(B5*B7))*B20</f>
        <v>0.13845146794389421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</row>
    <row r="26" spans="1:99" ht="18.600000000000001" thickBot="1" x14ac:dyDescent="0.4">
      <c r="A26" s="158" t="s">
        <v>51</v>
      </c>
      <c r="B26" s="157">
        <f>B24+B25</f>
        <v>0.13899049557912407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</row>
    <row r="27" spans="1:99" ht="15" thickBot="1" x14ac:dyDescent="0.35">
      <c r="A27" s="6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</row>
    <row r="28" spans="1:99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</row>
    <row r="29" spans="1:99" x14ac:dyDescent="0.3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</row>
    <row r="30" spans="1:99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</row>
    <row r="31" spans="1:99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</row>
    <row r="32" spans="1:99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</row>
    <row r="33" spans="1:99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</row>
    <row r="34" spans="1:99" x14ac:dyDescent="0.3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</row>
    <row r="35" spans="1:99" x14ac:dyDescent="0.3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</row>
    <row r="36" spans="1:99" x14ac:dyDescent="0.3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</row>
    <row r="37" spans="1:99" x14ac:dyDescent="0.3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</row>
    <row r="38" spans="1:99" x14ac:dyDescent="0.3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</row>
    <row r="39" spans="1:99" x14ac:dyDescent="0.3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</row>
    <row r="40" spans="1:99" x14ac:dyDescent="0.3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</row>
    <row r="41" spans="1:99" x14ac:dyDescent="0.3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</row>
    <row r="42" spans="1:99" x14ac:dyDescent="0.3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</row>
    <row r="43" spans="1:99" x14ac:dyDescent="0.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</row>
    <row r="44" spans="1:99" x14ac:dyDescent="0.3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</row>
    <row r="45" spans="1:99" x14ac:dyDescent="0.3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</row>
    <row r="46" spans="1:99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</row>
    <row r="47" spans="1:99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</row>
    <row r="48" spans="1:99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</row>
    <row r="49" spans="1:99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</row>
    <row r="50" spans="1:99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</row>
    <row r="51" spans="1:99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</row>
    <row r="52" spans="1:99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</row>
    <row r="53" spans="1:99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</row>
    <row r="54" spans="1:99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</row>
    <row r="55" spans="1:99" x14ac:dyDescent="0.3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</row>
    <row r="56" spans="1:99" x14ac:dyDescent="0.3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</row>
    <row r="57" spans="1:99" x14ac:dyDescent="0.3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</row>
    <row r="58" spans="1:99" x14ac:dyDescent="0.3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</row>
    <row r="59" spans="1:99" x14ac:dyDescent="0.3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</row>
    <row r="60" spans="1:99" x14ac:dyDescent="0.3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</row>
    <row r="61" spans="1:99" x14ac:dyDescent="0.3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</row>
    <row r="62" spans="1:99" x14ac:dyDescent="0.3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</row>
    <row r="63" spans="1:99" x14ac:dyDescent="0.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</row>
    <row r="64" spans="1:99" x14ac:dyDescent="0.3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</row>
    <row r="65" spans="1:99" x14ac:dyDescent="0.3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</row>
    <row r="66" spans="1:99" x14ac:dyDescent="0.3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</row>
    <row r="67" spans="1:99" x14ac:dyDescent="0.3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</row>
    <row r="68" spans="1:99" x14ac:dyDescent="0.3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</row>
    <row r="69" spans="1:99" x14ac:dyDescent="0.3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</row>
    <row r="70" spans="1:99" x14ac:dyDescent="0.3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</row>
    <row r="71" spans="1:99" x14ac:dyDescent="0.3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</row>
    <row r="72" spans="1:99" x14ac:dyDescent="0.3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</row>
    <row r="73" spans="1:99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</row>
    <row r="74" spans="1:99" x14ac:dyDescent="0.3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</row>
    <row r="75" spans="1:99" x14ac:dyDescent="0.3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</row>
    <row r="76" spans="1:99" x14ac:dyDescent="0.3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</row>
    <row r="77" spans="1:99" x14ac:dyDescent="0.3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</row>
    <row r="78" spans="1:99" x14ac:dyDescent="0.3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</row>
    <row r="79" spans="1:99" x14ac:dyDescent="0.3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</row>
    <row r="80" spans="1:99" x14ac:dyDescent="0.3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</row>
    <row r="81" spans="1:99" x14ac:dyDescent="0.3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</row>
    <row r="82" spans="1:99" x14ac:dyDescent="0.3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</row>
    <row r="83" spans="1:99" x14ac:dyDescent="0.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</row>
    <row r="84" spans="1:99" x14ac:dyDescent="0.3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</row>
    <row r="85" spans="1:99" x14ac:dyDescent="0.3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</row>
    <row r="86" spans="1:99" x14ac:dyDescent="0.3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</row>
    <row r="87" spans="1:99" x14ac:dyDescent="0.3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</row>
    <row r="88" spans="1:99" x14ac:dyDescent="0.3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</row>
    <row r="89" spans="1:99" x14ac:dyDescent="0.3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</row>
    <row r="90" spans="1:99" x14ac:dyDescent="0.3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</row>
    <row r="91" spans="1:99" x14ac:dyDescent="0.3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</row>
    <row r="92" spans="1:99" x14ac:dyDescent="0.3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</row>
    <row r="93" spans="1:99" x14ac:dyDescent="0.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</row>
    <row r="94" spans="1:99" x14ac:dyDescent="0.3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</row>
    <row r="95" spans="1:99" x14ac:dyDescent="0.3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</row>
    <row r="96" spans="1:99" x14ac:dyDescent="0.3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</row>
    <row r="97" spans="1:99" x14ac:dyDescent="0.3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</row>
    <row r="98" spans="1:99" x14ac:dyDescent="0.3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</row>
    <row r="99" spans="1:99" x14ac:dyDescent="0.3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</row>
    <row r="100" spans="1:99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</row>
    <row r="101" spans="1:99" x14ac:dyDescent="0.3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</row>
    <row r="102" spans="1:99" x14ac:dyDescent="0.3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</row>
    <row r="103" spans="1:99" x14ac:dyDescent="0.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</row>
    <row r="104" spans="1:99" x14ac:dyDescent="0.3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</row>
    <row r="105" spans="1:99" x14ac:dyDescent="0.3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</row>
    <row r="106" spans="1:99" x14ac:dyDescent="0.3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</row>
    <row r="107" spans="1:99" x14ac:dyDescent="0.3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</row>
    <row r="108" spans="1:99" x14ac:dyDescent="0.3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</row>
    <row r="109" spans="1:99" x14ac:dyDescent="0.3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</row>
    <row r="110" spans="1:99" x14ac:dyDescent="0.3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</row>
    <row r="111" spans="1:99" x14ac:dyDescent="0.3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</row>
    <row r="112" spans="1:99" x14ac:dyDescent="0.3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</row>
    <row r="113" spans="1:99" x14ac:dyDescent="0.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</row>
    <row r="114" spans="1:99" x14ac:dyDescent="0.3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</row>
    <row r="115" spans="1:99" x14ac:dyDescent="0.3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</row>
    <row r="116" spans="1:99" x14ac:dyDescent="0.3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</row>
    <row r="117" spans="1:99" x14ac:dyDescent="0.3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</row>
    <row r="118" spans="1:99" x14ac:dyDescent="0.3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</row>
    <row r="119" spans="1:99" x14ac:dyDescent="0.3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</row>
    <row r="120" spans="1:99" x14ac:dyDescent="0.3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</row>
    <row r="121" spans="1:99" x14ac:dyDescent="0.3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</row>
    <row r="122" spans="1:99" x14ac:dyDescent="0.3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</row>
    <row r="123" spans="1:99" x14ac:dyDescent="0.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</row>
    <row r="124" spans="1:99" x14ac:dyDescent="0.3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</row>
    <row r="125" spans="1:99" x14ac:dyDescent="0.3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</row>
    <row r="126" spans="1:99" x14ac:dyDescent="0.3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</row>
    <row r="127" spans="1:99" x14ac:dyDescent="0.3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</row>
    <row r="128" spans="1:99" x14ac:dyDescent="0.3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</row>
    <row r="129" spans="1:99" x14ac:dyDescent="0.3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</row>
    <row r="130" spans="1:99" x14ac:dyDescent="0.3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</row>
    <row r="131" spans="1:99" x14ac:dyDescent="0.3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</row>
    <row r="132" spans="1:99" x14ac:dyDescent="0.3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</row>
    <row r="133" spans="1:99" x14ac:dyDescent="0.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</row>
    <row r="134" spans="1:99" x14ac:dyDescent="0.3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</row>
    <row r="135" spans="1:99" x14ac:dyDescent="0.3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</row>
    <row r="136" spans="1:99" x14ac:dyDescent="0.3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</row>
    <row r="137" spans="1:99" x14ac:dyDescent="0.3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</row>
    <row r="138" spans="1:99" x14ac:dyDescent="0.3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</row>
    <row r="139" spans="1:99" x14ac:dyDescent="0.3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</row>
    <row r="140" spans="1:99" x14ac:dyDescent="0.3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</row>
    <row r="141" spans="1:99" x14ac:dyDescent="0.3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</row>
    <row r="142" spans="1:99" x14ac:dyDescent="0.3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</row>
    <row r="143" spans="1:99" x14ac:dyDescent="0.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</row>
    <row r="144" spans="1:99" x14ac:dyDescent="0.3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</row>
    <row r="145" spans="1:99" x14ac:dyDescent="0.3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</row>
    <row r="146" spans="1:99" x14ac:dyDescent="0.3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</row>
    <row r="147" spans="1:99" x14ac:dyDescent="0.3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</row>
    <row r="148" spans="1:99" x14ac:dyDescent="0.3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</row>
    <row r="149" spans="1:99" x14ac:dyDescent="0.3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</row>
    <row r="150" spans="1:99" x14ac:dyDescent="0.3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</row>
    <row r="151" spans="1:99" x14ac:dyDescent="0.3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</row>
    <row r="152" spans="1:99" x14ac:dyDescent="0.3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</row>
    <row r="153" spans="1:99" x14ac:dyDescent="0.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</row>
    <row r="154" spans="1:99" x14ac:dyDescent="0.3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</row>
    <row r="155" spans="1:99" x14ac:dyDescent="0.3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</row>
    <row r="156" spans="1:99" x14ac:dyDescent="0.3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</row>
    <row r="157" spans="1:99" x14ac:dyDescent="0.3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</row>
    <row r="158" spans="1:99" x14ac:dyDescent="0.3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</row>
    <row r="159" spans="1:99" x14ac:dyDescent="0.3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</row>
    <row r="160" spans="1:99" x14ac:dyDescent="0.3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</row>
    <row r="161" spans="1:99" x14ac:dyDescent="0.3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</row>
    <row r="162" spans="1:99" x14ac:dyDescent="0.3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</row>
    <row r="163" spans="1:99" x14ac:dyDescent="0.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</row>
    <row r="164" spans="1:99" x14ac:dyDescent="0.3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</row>
    <row r="165" spans="1:99" x14ac:dyDescent="0.3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</row>
    <row r="166" spans="1:99" x14ac:dyDescent="0.3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</row>
    <row r="167" spans="1:99" x14ac:dyDescent="0.3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</row>
    <row r="168" spans="1:99" x14ac:dyDescent="0.3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</row>
    <row r="169" spans="1:99" x14ac:dyDescent="0.3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</row>
    <row r="170" spans="1:99" x14ac:dyDescent="0.3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</row>
    <row r="171" spans="1:99" x14ac:dyDescent="0.3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</row>
    <row r="172" spans="1:99" x14ac:dyDescent="0.3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</row>
    <row r="173" spans="1:99" x14ac:dyDescent="0.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</row>
    <row r="174" spans="1:99" x14ac:dyDescent="0.3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</row>
    <row r="175" spans="1:99" x14ac:dyDescent="0.3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</row>
    <row r="176" spans="1:99" x14ac:dyDescent="0.3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</row>
    <row r="177" spans="1:99" x14ac:dyDescent="0.3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</row>
    <row r="178" spans="1:99" x14ac:dyDescent="0.3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</row>
    <row r="179" spans="1:99" x14ac:dyDescent="0.3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</row>
    <row r="180" spans="1:99" x14ac:dyDescent="0.3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</row>
    <row r="181" spans="1:99" x14ac:dyDescent="0.3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</row>
    <row r="182" spans="1:99" x14ac:dyDescent="0.3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</row>
    <row r="183" spans="1:99" x14ac:dyDescent="0.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</row>
    <row r="184" spans="1:99" x14ac:dyDescent="0.3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</row>
    <row r="185" spans="1:99" x14ac:dyDescent="0.3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</row>
    <row r="186" spans="1:99" x14ac:dyDescent="0.3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</row>
    <row r="187" spans="1:99" x14ac:dyDescent="0.3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</row>
    <row r="188" spans="1:99" x14ac:dyDescent="0.3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</row>
    <row r="189" spans="1:99" x14ac:dyDescent="0.3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</row>
    <row r="190" spans="1:99" x14ac:dyDescent="0.3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</row>
    <row r="191" spans="1:99" x14ac:dyDescent="0.3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</row>
    <row r="192" spans="1:99" x14ac:dyDescent="0.3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</row>
    <row r="193" spans="1:99" x14ac:dyDescent="0.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</row>
    <row r="194" spans="1:99" x14ac:dyDescent="0.3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</row>
    <row r="195" spans="1:99" x14ac:dyDescent="0.3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</row>
    <row r="196" spans="1:99" x14ac:dyDescent="0.3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</row>
    <row r="197" spans="1:99" x14ac:dyDescent="0.3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</row>
    <row r="198" spans="1:99" x14ac:dyDescent="0.3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</row>
    <row r="199" spans="1:99" x14ac:dyDescent="0.3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</row>
    <row r="200" spans="1:99" x14ac:dyDescent="0.3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</row>
    <row r="201" spans="1:99" x14ac:dyDescent="0.3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</row>
    <row r="202" spans="1:99" x14ac:dyDescent="0.3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</row>
    <row r="203" spans="1:99" x14ac:dyDescent="0.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</row>
    <row r="204" spans="1:99" x14ac:dyDescent="0.3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</row>
    <row r="205" spans="1:99" x14ac:dyDescent="0.3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</row>
    <row r="206" spans="1:99" x14ac:dyDescent="0.3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</row>
    <row r="207" spans="1:99" x14ac:dyDescent="0.3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</row>
    <row r="208" spans="1:99" x14ac:dyDescent="0.3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</row>
    <row r="209" spans="1:99" x14ac:dyDescent="0.3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</row>
    <row r="210" spans="1:99" x14ac:dyDescent="0.3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</row>
    <row r="211" spans="1:99" x14ac:dyDescent="0.3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DCF</vt:lpstr>
      <vt:lpstr>Cost of Capital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Trupti Shah</dc:creator>
  <cp:lastModifiedBy>Trupti Shah (She/Her)</cp:lastModifiedBy>
  <dcterms:created xsi:type="dcterms:W3CDTF">2023-10-31T03:32:44Z</dcterms:created>
  <dcterms:modified xsi:type="dcterms:W3CDTF">2026-03-14T07:36:36Z</dcterms:modified>
</cp:coreProperties>
</file>